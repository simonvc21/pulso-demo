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urrent" sheetId="2" state="visible" r:id="rId4"/>
    <sheet name="SAFE Round" sheetId="3" state="visible" r:id="rId5"/>
    <sheet name="Post-Money Si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<sst xmlns="http://schemas.openxmlformats.org/spreadsheetml/2006/main" count="90" uniqueCount="81">
  <si>
    <t xml:space="preserve">Pulso · Cap Table</t>
  </si>
  <si>
    <t xml:space="preserve">Última actualización</t>
  </si>
  <si>
    <t xml:space="preserve">2026-05-02</t>
  </si>
  <si>
    <t xml:space="preserve">Cómo leer este archivo</t>
  </si>
  <si>
    <t xml:space="preserve">1. Tab 'Current' — capitalización actual antes de la ronda. Founder + ESOP unallocated.</t>
  </si>
  <si>
    <t xml:space="preserve">2. Tab 'SAFE Round' — los SAFEs en circulación de la ronda actual ($500K target).</t>
  </si>
  <si>
    <t xml:space="preserve">3. Tab 'Post-Money Sim' — qué pasa cuando los SAFEs convierten en la próxima priced round.</t>
  </si>
  <si>
    <t xml:space="preserve">Convenciones de color (estándar de la industria):</t>
  </si>
  <si>
    <t xml:space="preserve">  · Azul: input editable (lo que cambiás para correr scenarios)</t>
  </si>
  <si>
    <t xml:space="preserve">  · Negro: fórmula calculada</t>
  </si>
  <si>
    <t xml:space="preserve">  · Amarillo: assumption clave</t>
  </si>
  <si>
    <t xml:space="preserve">Para cambiar el target de la ronda, valuation cap o discount, edití solo las celdas azules en 'SAFE Round'.</t>
  </si>
  <si>
    <t xml:space="preserve">Notas legales</t>
  </si>
  <si>
    <t xml:space="preserve">  · Este es un cap table de trabajo, no la fuente de verdad oficial.</t>
  </si>
  <si>
    <t xml:space="preserve">  · Para emitir acciones / SAFEs reales necesitás un abogado y, idealmente, una herramienta como Pulley, Carta o AngelList.</t>
  </si>
  <si>
    <t xml:space="preserve">  · Las acciones (10M total) son una convención. Lo que importa son los porcentajes.</t>
  </si>
  <si>
    <t xml:space="preserve">Cap Table actual (pre-money)</t>
  </si>
  <si>
    <t xml:space="preserve">Total acciones autorizadas</t>
  </si>
  <si>
    <t xml:space="preserve">Holder</t>
  </si>
  <si>
    <t xml:space="preserve">Tipo</t>
  </si>
  <si>
    <t xml:space="preserve">Acciones</t>
  </si>
  <si>
    <t xml:space="preserve">% Fully Diluted</t>
  </si>
  <si>
    <t xml:space="preserve">Vesting</t>
  </si>
  <si>
    <t xml:space="preserve">Notas</t>
  </si>
  <si>
    <t xml:space="preserve">Simon Villena (Founder)</t>
  </si>
  <si>
    <t xml:space="preserve">Common</t>
  </si>
  <si>
    <t xml:space="preserve">4y / 1y cliff desde 2026-04-01</t>
  </si>
  <si>
    <t xml:space="preserve">Fundador único. Vesting empieza el día de la incorporación de la sociedad.</t>
  </si>
  <si>
    <t xml:space="preserve">ESOP Pool (unallocated)</t>
  </si>
  <si>
    <t xml:space="preserve">Options</t>
  </si>
  <si>
    <t xml:space="preserve">n/a hasta asignación</t>
  </si>
  <si>
    <t xml:space="preserve">Pool de opciones para futuros empleados. 10% pre-money.</t>
  </si>
  <si>
    <t xml:space="preserve">TOTAL</t>
  </si>
  <si>
    <t xml:space="preserve">Ronda actual · SAFEs</t>
  </si>
  <si>
    <t xml:space="preserve">Target total de la ronda (USD)</t>
  </si>
  <si>
    <t xml:space="preserve">Valuation cap (USD)</t>
  </si>
  <si>
    <t xml:space="preserve">Discount %</t>
  </si>
  <si>
    <t xml:space="preserve">Tipo de SAFE</t>
  </si>
  <si>
    <t xml:space="preserve">Post-money SAFE (Y Combinator 2018)</t>
  </si>
  <si>
    <t xml:space="preserve">Investor</t>
  </si>
  <si>
    <t xml:space="preserve">Monto (USD)</t>
  </si>
  <si>
    <t xml:space="preserve">Cap</t>
  </si>
  <si>
    <t xml:space="preserve">Discount</t>
  </si>
  <si>
    <t xml:space="preserve">Status</t>
  </si>
  <si>
    <t xml:space="preserve">Fecha</t>
  </si>
  <si>
    <t xml:space="preserve">Family Office Roberto</t>
  </si>
  <si>
    <t xml:space="preserve">Post-money SAFE</t>
  </si>
  <si>
    <t xml:space="preserve">Soft commit</t>
  </si>
  <si>
    <t xml:space="preserve">2026-06-15</t>
  </si>
  <si>
    <t xml:space="preserve">Angel investor 2</t>
  </si>
  <si>
    <t xml:space="preserve">Pendiente</t>
  </si>
  <si>
    <t xml:space="preserve">Angel investor 3</t>
  </si>
  <si>
    <t xml:space="preserve">[Espacio libre]</t>
  </si>
  <si>
    <t xml:space="preserve">Open</t>
  </si>
  <si>
    <t xml:space="preserve">TOTAL COMPROMETIDO</t>
  </si>
  <si>
    <t xml:space="preserve">% vs target</t>
  </si>
  <si>
    <t xml:space="preserve">Simulación post-conversión SAFE</t>
  </si>
  <si>
    <t xml:space="preserve">Asumiendo que los SAFEs convierten en la próxima priced round.</t>
  </si>
  <si>
    <t xml:space="preserve">Inputs próxima ronda</t>
  </si>
  <si>
    <t xml:space="preserve">Pre-money (próxima ronda)</t>
  </si>
  <si>
    <t xml:space="preserve">Cheque del nuevo lead (USD)</t>
  </si>
  <si>
    <t xml:space="preserve">ESOP refresh % (post-money)</t>
  </si>
  <si>
    <t xml:space="preserve">Total SAFEs convirtiendo</t>
  </si>
  <si>
    <t xml:space="preserve">SAFE conversion price (cap-based)</t>
  </si>
  <si>
    <t xml:space="preserve">Cap table post-money</t>
  </si>
  <si>
    <t xml:space="preserve">% Pre-money</t>
  </si>
  <si>
    <t xml:space="preserve">% Post-money</t>
  </si>
  <si>
    <t xml:space="preserve">Sin dilución directa, pero % cae</t>
  </si>
  <si>
    <t xml:space="preserve">ESOP existente</t>
  </si>
  <si>
    <t xml:space="preserve">Pool original 10%</t>
  </si>
  <si>
    <t xml:space="preserve">Inversores SAFE (converted)</t>
  </si>
  <si>
    <t xml:space="preserve">Convierten al cap (mejor que descuento si pre-money &gt; cap)</t>
  </si>
  <si>
    <t xml:space="preserve">Nuevo lead investor</t>
  </si>
  <si>
    <t xml:space="preserve">Cheque de la próxima ronda al pre-money</t>
  </si>
  <si>
    <t xml:space="preserve">ESOP top-up</t>
  </si>
  <si>
    <t xml:space="preserve">Refresh para mantener pool 10% post</t>
  </si>
  <si>
    <t xml:space="preserve">TOTAL POST-MONEY</t>
  </si>
  <si>
    <t xml:space="preserve">Dilución del founder</t>
  </si>
  <si>
    <t xml:space="preserve">% pre-money</t>
  </si>
  <si>
    <t xml:space="preserve">% post-money</t>
  </si>
  <si>
    <t xml:space="preserve">Dilución (pp)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</si>
</sst>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\$#,##0"/>
    <numFmt numFmtId="168" formatCode="0%"/>
    <numFmt numFmtId="169" formatCode="\$#,##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1F44"/>
      <name val="Arial"/>
      <family val="0"/>
      <charset val="1"/>
    </font>
    <font>
      <b val="true"/>
      <sz val="11"/>
      <color rgb="FF0A1F4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F172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0A1F4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A1F44"/>
        <bgColor rgb="FF0F172A"/>
      </patternFill>
    </fill>
    <fill>
      <patternFill patternType="solid">
        <fgColor rgb="FFEEF1F6"/>
        <bgColor rgb="FFF7F8FB"/>
      </patternFill>
    </fill>
    <fill>
      <patternFill patternType="solid">
        <fgColor rgb="FFFDF6E3"/>
        <bgColor rgb="FFF7F8FB"/>
      </patternFill>
    </fill>
    <fill>
      <patternFill patternType="solid">
        <fgColor rgb="FFF7F8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3EC"/>
      </left>
      <right style="thin">
        <color rgb="FFDDE3EC"/>
      </right>
      <top style="thin">
        <color rgb="FFDDE3EC"/>
      </top>
      <bottom style="thin">
        <color rgb="FFDDE3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6E3"/>
      <rgbColor rgb="FFEEF1F6"/>
      <rgbColor rgb="FF660066"/>
      <rgbColor rgb="FFFF8080"/>
      <rgbColor rgb="FF0066CC"/>
      <rgbColor rgb="FFDDE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8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A1F44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4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4"/>
    </row>
    <row r="16" customFormat="false" ht="15" hidden="false" customHeight="false" outlineLevel="0" collapsed="false">
      <c r="A16" s="4" t="s">
        <v>11</v>
      </c>
    </row>
    <row r="17" customFormat="false" ht="15" hidden="false" customHeight="false" outlineLevel="0" collapsed="false">
      <c r="A17" s="4"/>
    </row>
    <row r="18" customFormat="false" ht="15" hidden="false" customHeight="false" outlineLevel="0" collapsed="false">
      <c r="A18" s="2" t="s">
        <v>12</v>
      </c>
    </row>
    <row r="19" customFormat="false" ht="15" hidden="false" customHeight="false" outlineLevel="0" collapsed="false">
      <c r="A19" s="4" t="s">
        <v>13</v>
      </c>
    </row>
    <row r="20" customFormat="false" ht="15" hidden="false" customHeight="false" outlineLevel="0" collapsed="false">
      <c r="A20" s="4" t="s">
        <v>14</v>
      </c>
    </row>
    <row r="21" customFormat="false" ht="15" hidden="false" customHeight="false" outlineLevel="0" collapsed="false">
      <c r="A21" s="4" t="s">
        <v>15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5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17</v>
      </c>
      <c r="B3" s="5" t="n">
        <v>10000000</v>
      </c>
    </row>
    <row r="5" customFormat="false" ht="15" hidden="false" customHeight="false" outlineLevel="0" collapsed="false">
      <c r="A5" s="6" t="s">
        <v>18</v>
      </c>
      <c r="B5" s="6" t="s">
        <v>19</v>
      </c>
      <c r="C5" s="6" t="s">
        <v>20</v>
      </c>
      <c r="D5" s="6" t="s">
        <v>21</v>
      </c>
      <c r="E5" s="6" t="s">
        <v>22</v>
      </c>
      <c r="F5" s="6" t="s">
        <v>23</v>
      </c>
    </row>
    <row r="6" customFormat="false" ht="15" hidden="false" customHeight="false" outlineLevel="0" collapsed="false">
      <c r="A6" s="4" t="s">
        <v>24</v>
      </c>
      <c r="B6" s="4" t="s">
        <v>25</v>
      </c>
      <c r="C6" s="5" t="n">
        <v>9000000</v>
      </c>
      <c r="D6" s="7" t="n">
        <f aca="false">C6/$B$3</f>
        <v>0.9</v>
      </c>
      <c r="E6" s="8" t="s">
        <v>26</v>
      </c>
      <c r="F6" s="8" t="s">
        <v>27</v>
      </c>
    </row>
    <row r="7" customFormat="false" ht="15" hidden="false" customHeight="false" outlineLevel="0" collapsed="false">
      <c r="A7" s="4" t="s">
        <v>28</v>
      </c>
      <c r="B7" s="4" t="s">
        <v>29</v>
      </c>
      <c r="C7" s="5" t="n">
        <v>1000000</v>
      </c>
      <c r="D7" s="7" t="n">
        <f aca="false">C7/$B$3</f>
        <v>0.1</v>
      </c>
      <c r="E7" s="8" t="s">
        <v>30</v>
      </c>
      <c r="F7" s="8" t="s">
        <v>31</v>
      </c>
    </row>
    <row r="9" customFormat="false" ht="15" hidden="false" customHeight="false" outlineLevel="0" collapsed="false">
      <c r="A9" s="9" t="s">
        <v>32</v>
      </c>
      <c r="B9" s="10"/>
      <c r="C9" s="11" t="n">
        <f aca="false">SUM(C6:C8)</f>
        <v>10000000</v>
      </c>
      <c r="D9" s="12" t="n">
        <f aca="false">SUM(D6:D8)</f>
        <v>1</v>
      </c>
      <c r="E9" s="10"/>
      <c r="F9" s="10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7" min="6" style="0" width="14"/>
  </cols>
  <sheetData>
    <row r="1" customFormat="false" ht="19.7" hidden="false" customHeight="false" outlineLevel="0" collapsed="false">
      <c r="A1" s="1" t="s">
        <v>33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34</v>
      </c>
      <c r="B3" s="13" t="n">
        <v>500000</v>
      </c>
    </row>
    <row r="4" customFormat="false" ht="15" hidden="false" customHeight="false" outlineLevel="0" collapsed="false">
      <c r="A4" s="2" t="s">
        <v>35</v>
      </c>
      <c r="B4" s="13" t="n">
        <v>5000000</v>
      </c>
    </row>
    <row r="5" customFormat="false" ht="15" hidden="false" customHeight="false" outlineLevel="0" collapsed="false">
      <c r="A5" s="2" t="s">
        <v>36</v>
      </c>
      <c r="B5" s="14" t="n">
        <v>0.2</v>
      </c>
    </row>
    <row r="6" customFormat="false" ht="15" hidden="false" customHeight="false" outlineLevel="0" collapsed="false">
      <c r="A6" s="2" t="s">
        <v>37</v>
      </c>
      <c r="B6" s="3" t="s">
        <v>38</v>
      </c>
    </row>
    <row r="8" customFormat="false" ht="15" hidden="false" customHeight="false" outlineLevel="0" collapsed="false">
      <c r="A8" s="6" t="s">
        <v>39</v>
      </c>
      <c r="B8" s="6" t="s">
        <v>19</v>
      </c>
      <c r="C8" s="6" t="s">
        <v>40</v>
      </c>
      <c r="D8" s="6" t="s">
        <v>41</v>
      </c>
      <c r="E8" s="6" t="s">
        <v>42</v>
      </c>
      <c r="F8" s="6" t="s">
        <v>43</v>
      </c>
      <c r="G8" s="6" t="s">
        <v>44</v>
      </c>
    </row>
    <row r="9" customFormat="false" ht="15" hidden="false" customHeight="false" outlineLevel="0" collapsed="false">
      <c r="A9" s="4" t="s">
        <v>45</v>
      </c>
      <c r="B9" s="4" t="s">
        <v>46</v>
      </c>
      <c r="C9" s="15" t="n">
        <v>250000</v>
      </c>
      <c r="D9" s="15" t="n">
        <v>5000000</v>
      </c>
      <c r="E9" s="16" t="n">
        <v>0.2</v>
      </c>
      <c r="F9" s="4" t="s">
        <v>47</v>
      </c>
      <c r="G9" s="4" t="s">
        <v>48</v>
      </c>
    </row>
    <row r="10" customFormat="false" ht="15" hidden="false" customHeight="false" outlineLevel="0" collapsed="false">
      <c r="A10" s="4" t="s">
        <v>49</v>
      </c>
      <c r="B10" s="4" t="s">
        <v>46</v>
      </c>
      <c r="C10" s="15" t="n">
        <v>100000</v>
      </c>
      <c r="D10" s="15" t="n">
        <v>5000000</v>
      </c>
      <c r="E10" s="16" t="n">
        <v>0.2</v>
      </c>
      <c r="F10" s="4" t="s">
        <v>50</v>
      </c>
      <c r="G10" s="4"/>
    </row>
    <row r="11" customFormat="false" ht="15" hidden="false" customHeight="false" outlineLevel="0" collapsed="false">
      <c r="A11" s="4" t="s">
        <v>51</v>
      </c>
      <c r="B11" s="4" t="s">
        <v>46</v>
      </c>
      <c r="C11" s="15" t="n">
        <v>100000</v>
      </c>
      <c r="D11" s="15" t="n">
        <v>5000000</v>
      </c>
      <c r="E11" s="16" t="n">
        <v>0.2</v>
      </c>
      <c r="F11" s="4" t="s">
        <v>50</v>
      </c>
      <c r="G11" s="4"/>
    </row>
    <row r="12" customFormat="false" ht="15" hidden="false" customHeight="false" outlineLevel="0" collapsed="false">
      <c r="A12" s="4" t="s">
        <v>52</v>
      </c>
      <c r="B12" s="4" t="s">
        <v>46</v>
      </c>
      <c r="C12" s="15" t="n">
        <v>50000</v>
      </c>
      <c r="D12" s="15" t="n">
        <v>5000000</v>
      </c>
      <c r="E12" s="16" t="n">
        <v>0.2</v>
      </c>
      <c r="F12" s="4" t="s">
        <v>53</v>
      </c>
      <c r="G12" s="4"/>
    </row>
    <row r="14" customFormat="false" ht="15" hidden="false" customHeight="false" outlineLevel="0" collapsed="false">
      <c r="A14" s="9" t="s">
        <v>54</v>
      </c>
      <c r="C14" s="17" t="n">
        <f aca="false">SUM(C9:C13)</f>
        <v>500000</v>
      </c>
    </row>
    <row r="15" customFormat="false" ht="15" hidden="false" customHeight="false" outlineLevel="0" collapsed="false">
      <c r="A15" s="18" t="s">
        <v>55</v>
      </c>
      <c r="C15" s="19" t="n">
        <f aca="false">C14/$B$3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56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0" t="s">
        <v>57</v>
      </c>
      <c r="B3" s="20"/>
      <c r="C3" s="20"/>
      <c r="D3" s="20"/>
      <c r="E3" s="20"/>
      <c r="F3" s="20"/>
    </row>
    <row r="5" customFormat="false" ht="15" hidden="false" customHeight="false" outlineLevel="0" collapsed="false">
      <c r="A5" s="21" t="s">
        <v>58</v>
      </c>
      <c r="B5" s="21"/>
    </row>
    <row r="6" customFormat="false" ht="15" hidden="false" customHeight="false" outlineLevel="0" collapsed="false">
      <c r="A6" s="4" t="s">
        <v>59</v>
      </c>
      <c r="B6" s="13" t="n">
        <v>8000000</v>
      </c>
    </row>
    <row r="7" customFormat="false" ht="15" hidden="false" customHeight="false" outlineLevel="0" collapsed="false">
      <c r="A7" s="4" t="s">
        <v>60</v>
      </c>
      <c r="B7" s="13" t="n">
        <v>2000000</v>
      </c>
    </row>
    <row r="8" customFormat="false" ht="15" hidden="false" customHeight="false" outlineLevel="0" collapsed="false">
      <c r="A8" s="4" t="s">
        <v>61</v>
      </c>
      <c r="B8" s="14" t="n">
        <v>0.1</v>
      </c>
    </row>
    <row r="9" customFormat="false" ht="15" hidden="false" customHeight="false" outlineLevel="0" collapsed="false">
      <c r="A9" s="4" t="s">
        <v>62</v>
      </c>
      <c r="B9" s="22" t="n">
        <f aca="false">'SAFE Round'!C14</f>
        <v>500000</v>
      </c>
    </row>
    <row r="10" customFormat="false" ht="15" hidden="false" customHeight="false" outlineLevel="0" collapsed="false">
      <c r="A10" s="4" t="s">
        <v>63</v>
      </c>
      <c r="B10" s="23" t="n">
        <f aca="false">'SAFE Round'!B4/Current!C9</f>
        <v>0.5</v>
      </c>
    </row>
    <row r="12" customFormat="false" ht="15" hidden="false" customHeight="false" outlineLevel="0" collapsed="false">
      <c r="A12" s="21" t="s">
        <v>64</v>
      </c>
      <c r="B12" s="21"/>
      <c r="C12" s="21"/>
      <c r="D12" s="21"/>
      <c r="E12" s="21"/>
      <c r="F12" s="21"/>
    </row>
    <row r="13" customFormat="false" ht="15" hidden="false" customHeight="false" outlineLevel="0" collapsed="false">
      <c r="A13" s="6" t="s">
        <v>18</v>
      </c>
      <c r="B13" s="6" t="s">
        <v>20</v>
      </c>
      <c r="C13" s="6" t="s">
        <v>65</v>
      </c>
      <c r="D13" s="6" t="s">
        <v>66</v>
      </c>
      <c r="E13" s="6" t="s">
        <v>23</v>
      </c>
    </row>
    <row r="14" customFormat="false" ht="15" hidden="false" customHeight="false" outlineLevel="0" collapsed="false">
      <c r="A14" s="4" t="s">
        <v>24</v>
      </c>
      <c r="B14" s="24" t="n">
        <f aca="false">Current!C6</f>
        <v>9000000</v>
      </c>
      <c r="C14" s="7" t="n">
        <f aca="false">B14/Current!C9</f>
        <v>0.9</v>
      </c>
      <c r="D14" s="7" t="n">
        <f aca="false">B14/$B$19</f>
        <v>0.648</v>
      </c>
      <c r="E14" s="8" t="s">
        <v>67</v>
      </c>
    </row>
    <row r="15" customFormat="false" ht="15" hidden="false" customHeight="false" outlineLevel="0" collapsed="false">
      <c r="A15" s="4" t="s">
        <v>68</v>
      </c>
      <c r="B15" s="24" t="n">
        <f aca="false">Current!C7</f>
        <v>1000000</v>
      </c>
      <c r="C15" s="7" t="n">
        <f aca="false">B15/Current!C9</f>
        <v>0.1</v>
      </c>
      <c r="D15" s="7" t="n">
        <f aca="false">B15/$B$19</f>
        <v>0.072</v>
      </c>
      <c r="E15" s="8" t="s">
        <v>69</v>
      </c>
    </row>
    <row r="16" customFormat="false" ht="15" hidden="false" customHeight="false" outlineLevel="0" collapsed="false">
      <c r="A16" s="4" t="s">
        <v>70</v>
      </c>
      <c r="B16" s="24" t="n">
        <f aca="false">B9/B10</f>
        <v>1000000</v>
      </c>
      <c r="C16" s="8"/>
      <c r="D16" s="7" t="n">
        <f aca="false">B16/$B$19</f>
        <v>0.072</v>
      </c>
      <c r="E16" s="8" t="s">
        <v>71</v>
      </c>
    </row>
    <row r="17" customFormat="false" ht="15" hidden="false" customHeight="false" outlineLevel="0" collapsed="false">
      <c r="A17" s="4" t="s">
        <v>72</v>
      </c>
      <c r="B17" s="24" t="n">
        <f aca="false">B7/(B6/Current!C9)</f>
        <v>2500000</v>
      </c>
      <c r="C17" s="8"/>
      <c r="D17" s="7" t="n">
        <f aca="false">B17/$B$19</f>
        <v>0.18</v>
      </c>
      <c r="E17" s="8" t="s">
        <v>73</v>
      </c>
    </row>
    <row r="18" customFormat="false" ht="15" hidden="false" customHeight="false" outlineLevel="0" collapsed="false">
      <c r="A18" s="4" t="s">
        <v>74</v>
      </c>
      <c r="B18" s="24" t="n">
        <f aca="false">MAX(0,B8*B19-B15)</f>
        <v>388888.888888889</v>
      </c>
      <c r="C18" s="8"/>
      <c r="D18" s="7" t="n">
        <f aca="false">B18/$B$19</f>
        <v>0.028</v>
      </c>
      <c r="E18" s="8" t="s">
        <v>75</v>
      </c>
    </row>
    <row r="19" customFormat="false" ht="15" hidden="false" customHeight="false" outlineLevel="0" collapsed="false">
      <c r="A19" s="9" t="s">
        <v>76</v>
      </c>
      <c r="B19" s="11" t="n">
        <f aca="false">(B14+B16+B17)/(1-B8)</f>
        <v>13888888.8888889</v>
      </c>
      <c r="D19" s="12" t="n">
        <f aca="false">SUM(D14:D18)</f>
        <v>1</v>
      </c>
    </row>
    <row r="21" customFormat="false" ht="15" hidden="false" customHeight="false" outlineLevel="0" collapsed="false">
      <c r="A21" s="2" t="s">
        <v>77</v>
      </c>
    </row>
    <row r="22" customFormat="false" ht="15" hidden="false" customHeight="false" outlineLevel="0" collapsed="false">
      <c r="A22" s="4" t="s">
        <v>78</v>
      </c>
      <c r="B22" s="7" t="n">
        <f aca="false">B14/Current!C9</f>
        <v>0.9</v>
      </c>
    </row>
    <row r="23" customFormat="false" ht="15" hidden="false" customHeight="false" outlineLevel="0" collapsed="false">
      <c r="A23" s="4" t="s">
        <v>79</v>
      </c>
      <c r="B23" s="7" t="n">
        <f aca="false">B14/$B$19</f>
        <v>0.648</v>
      </c>
    </row>
    <row r="24" customFormat="false" ht="15" hidden="false" customHeight="false" outlineLevel="0" collapsed="false">
      <c r="A24" s="4" t="s">
        <v>80</v>
      </c>
      <c r="B24" s="7" t="n">
        <f aca="false">B22-B23</f>
        <v>0.252</v>
      </c>
    </row>
  </sheetData>
  <mergeCells count="4">
    <mergeCell ref="A1:F1"/>
    <mergeCell ref="A3:F3"/>
    <mergeCell ref="A5:B5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2026-05-03T09:40:40Z</dcterms:created>
  <dc:creator>openpyxl</dc:creator>
  <dc:description/>
  <dc:language>en-US</dc:language>
  <cp:lastModifiedBy/>
  <dcterms:modified xsi:type="dcterms:W3CDTF">2026-05-03T09:40:40Z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