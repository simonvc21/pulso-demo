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Revenue" sheetId="3" state="visible" r:id="rId5"/>
    <sheet name="Payroll" sheetId="4" state="visible" r:id="rId6"/>
    <sheet name="P&amp;L" sheetId="5" state="visible" r:id="rId7"/>
    <sheet name="Cash Flow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<sst xmlns="http://schemas.openxmlformats.org/spreadsheetml/2006/main" count="226" uniqueCount="149">
  <si>
    <t xml:space="preserve">Pulso · Financial Model</t>
  </si>
  <si>
    <t xml:space="preserve">24 meses · Abr 2026 → Mar 2028 · Pre-seed/Seed</t>
  </si>
  <si>
    <t xml:space="preserve">Estructura del modelo</t>
  </si>
  <si>
    <t xml:space="preserve">1. Assumptions — todas las variables que controlás (azul = editable)</t>
  </si>
  <si>
    <t xml:space="preserve">2. Revenue — modelo de ingresos por tier (Starter, Growth, Platform)</t>
  </si>
  <si>
    <t xml:space="preserve">3. Payroll — headcount y costo total mes a mes</t>
  </si>
  <si>
    <t xml:space="preserve">4. P&amp;L — pérdidas y ganancias mensuales</t>
  </si>
  <si>
    <t xml:space="preserve">5. Cash Flow — runway, cash en banco, mes en que se acaba la plata</t>
  </si>
  <si>
    <t xml:space="preserve">Cómo correr scenarios</t>
  </si>
  <si>
    <t xml:space="preserve">Editá solo las celdas en azul de Assumptions. Todo lo demás se recalcula.</t>
  </si>
  <si>
    <t xml:space="preserve">Las celdas con fondo amarillo son los key drivers — empezá por ahí.</t>
  </si>
  <si>
    <t xml:space="preserve">Para comparar 3 escenarios (base / optimistic / pessimistic):</t>
  </si>
  <si>
    <t xml:space="preserve">  · Guardá el archivo, cambiá los inputs, guardá como otro nombre</t>
  </si>
  <si>
    <t xml:space="preserve">  · O duplicá la tab Assumptions y referenciá manualmente</t>
  </si>
  <si>
    <t xml:space="preserve">Convenciones</t>
  </si>
  <si>
    <t xml:space="preserve">· Azul: input editable</t>
  </si>
  <si>
    <t xml:space="preserve">· Negro: fórmula calculada en la misma tab</t>
  </si>
  <si>
    <t xml:space="preserve">· Verde: link a otra tab</t>
  </si>
  <si>
    <t xml:space="preserve">· Amarillo: assumption clave (alta sensibilidad)</t>
  </si>
  <si>
    <t xml:space="preserve">· Paréntesis: número negativo</t>
  </si>
  <si>
    <t xml:space="preserve">· Guion '-': valor cero</t>
  </si>
  <si>
    <t xml:space="preserve">Caveats</t>
  </si>
  <si>
    <t xml:space="preserve">· Este modelo es para fundraising (pre-seed/seed), no para reporting GAAP.</t>
  </si>
  <si>
    <t xml:space="preserve">· No contempla impuestos federales/IIBB/IVA — pre-revenue eso es 0.</t>
  </si>
  <si>
    <t xml:space="preserve">· Cuando levantes la ronda y pases a &gt;$50K MRR, contratá un finance person que arme un modelo de verdad.</t>
  </si>
  <si>
    <t xml:space="preserve">Assumptions</t>
  </si>
  <si>
    <t xml:space="preserve">Editá solo las celdas azules. Las amarillas son los drivers que más mueven el modelo.</t>
  </si>
  <si>
    <t xml:space="preserve">PRICING</t>
  </si>
  <si>
    <t xml:space="preserve">Starter (USD/mo)</t>
  </si>
  <si>
    <t xml:space="preserve">Growth (USD/mo)</t>
  </si>
  <si>
    <t xml:space="preserve">Sticker price del tier core</t>
  </si>
  <si>
    <t xml:space="preserve">Platform (USD/mo, promedio)</t>
  </si>
  <si>
    <t xml:space="preserve">Custom; promedio asumido</t>
  </si>
  <si>
    <t xml:space="preserve">ACQUISITION — pago neto NUEVOS por mes</t>
  </si>
  <si>
    <t xml:space="preserve">Mes 1</t>
  </si>
  <si>
    <t xml:space="preserve">Mes 3</t>
  </si>
  <si>
    <t xml:space="preserve">Primer cliente pago</t>
  </si>
  <si>
    <t xml:space="preserve">Mes 6</t>
  </si>
  <si>
    <t xml:space="preserve">Mes 9</t>
  </si>
  <si>
    <t xml:space="preserve">Mes 12</t>
  </si>
  <si>
    <t xml:space="preserve">Mes 15</t>
  </si>
  <si>
    <t xml:space="preserve">Mes 18</t>
  </si>
  <si>
    <t xml:space="preserve">Mes 21</t>
  </si>
  <si>
    <t xml:space="preserve">Mes 24</t>
  </si>
  <si>
    <t xml:space="preserve">MIX — % de NUEVOS clientes que van a Platform vs Growth</t>
  </si>
  <si>
    <t xml:space="preserve">% Platform Y1</t>
  </si>
  <si>
    <t xml:space="preserve">El resto va a Growth</t>
  </si>
  <si>
    <t xml:space="preserve">% Platform Y2</t>
  </si>
  <si>
    <t xml:space="preserve">RETENTION</t>
  </si>
  <si>
    <t xml:space="preserve">Churn mensual %</t>
  </si>
  <si>
    <t xml:space="preserve">Bajo es mejor. SaaS B2B sano: 1-2%/mes</t>
  </si>
  <si>
    <t xml:space="preserve">COGS</t>
  </si>
  <si>
    <t xml:space="preserve">Hosting+infra por cliente activo (USD/mo)</t>
  </si>
  <si>
    <t xml:space="preserve">Supabase + Vercel + monitoring</t>
  </si>
  <si>
    <t xml:space="preserve">Soporte por cliente (USD/mo)</t>
  </si>
  <si>
    <t xml:space="preserve">Tiempo founder/CSM</t>
  </si>
  <si>
    <t xml:space="preserve">PAYROLL — salarios USD/mes (gross)</t>
  </si>
  <si>
    <t xml:space="preserve">Founder</t>
  </si>
  <si>
    <t xml:space="preserve">Sub-mercado mientras runway corto</t>
  </si>
  <si>
    <t xml:space="preserve">Engineer 1 (M5+)</t>
  </si>
  <si>
    <t xml:space="preserve">Engineer 2 (M15+)</t>
  </si>
  <si>
    <t xml:space="preserve">GTM/Founder Associate (M13+)</t>
  </si>
  <si>
    <t xml:space="preserve">Burden cargas sociales %</t>
  </si>
  <si>
    <t xml:space="preserve">ARG: aprox; ajustá si LATAM otro país</t>
  </si>
  <si>
    <t xml:space="preserve">OPEX</t>
  </si>
  <si>
    <t xml:space="preserve">SaaS tools (USD/mo)</t>
  </si>
  <si>
    <t xml:space="preserve">Linear, Notion, Cursor, etc</t>
  </si>
  <si>
    <t xml:space="preserve">Legal+Accounting (USD/mo)</t>
  </si>
  <si>
    <t xml:space="preserve">Marketing (USD/mo, primeros 6)</t>
  </si>
  <si>
    <t xml:space="preserve">Marketing (USD/mo, M7-12)</t>
  </si>
  <si>
    <t xml:space="preserve">Marketing (USD/mo, M13+)</t>
  </si>
  <si>
    <t xml:space="preserve">Coworking/oficina (USD/mo)</t>
  </si>
  <si>
    <t xml:space="preserve">Otros (USD/mo)</t>
  </si>
  <si>
    <t xml:space="preserve">FUNDING</t>
  </si>
  <si>
    <t xml:space="preserve">Cash inicial (USD)</t>
  </si>
  <si>
    <t xml:space="preserve">Antes de la ronda</t>
  </si>
  <si>
    <t xml:space="preserve">Ronda pre-seed (USD)</t>
  </si>
  <si>
    <t xml:space="preserve">SAFE total</t>
  </si>
  <si>
    <t xml:space="preserve">Mes en que entra la ronda</t>
  </si>
  <si>
    <t xml:space="preserve">Asume cierre en mes 1 del modelo</t>
  </si>
  <si>
    <t xml:space="preserve">Revenue Model</t>
  </si>
  <si>
    <t xml:space="preserve">Abr-26</t>
  </si>
  <si>
    <t xml:space="preserve">May-26</t>
  </si>
  <si>
    <t xml:space="preserve">Jun-26</t>
  </si>
  <si>
    <t xml:space="preserve">Jul-26</t>
  </si>
  <si>
    <t xml:space="preserve">Ago-26</t>
  </si>
  <si>
    <t xml:space="preserve">Sep-26</t>
  </si>
  <si>
    <t xml:space="preserve">Oct-26</t>
  </si>
  <si>
    <t xml:space="preserve">Nov-26</t>
  </si>
  <si>
    <t xml:space="preserve">Dic-26</t>
  </si>
  <si>
    <t xml:space="preserve">Ene-27</t>
  </si>
  <si>
    <t xml:space="preserve">Feb-27</t>
  </si>
  <si>
    <t xml:space="preserve">Mar-27</t>
  </si>
  <si>
    <t xml:space="preserve">Abr-27</t>
  </si>
  <si>
    <t xml:space="preserve">May-27</t>
  </si>
  <si>
    <t xml:space="preserve">Jun-27</t>
  </si>
  <si>
    <t xml:space="preserve">Jul-27</t>
  </si>
  <si>
    <t xml:space="preserve">Ago-27</t>
  </si>
  <si>
    <t xml:space="preserve">Sep-27</t>
  </si>
  <si>
    <t xml:space="preserve">Oct-27</t>
  </si>
  <si>
    <t xml:space="preserve">Nov-27</t>
  </si>
  <si>
    <t xml:space="preserve">Dic-27</t>
  </si>
  <si>
    <t xml:space="preserve">Ene-28</t>
  </si>
  <si>
    <t xml:space="preserve">Feb-28</t>
  </si>
  <si>
    <t xml:space="preserve">Mar-28</t>
  </si>
  <si>
    <t xml:space="preserve">Mes #</t>
  </si>
  <si>
    <t xml:space="preserve">Nuevos clientes (mes)</t>
  </si>
  <si>
    <t xml:space="preserve">Clientes activos (cumulative)</t>
  </si>
  <si>
    <t xml:space="preserve">% nuevos → Platform</t>
  </si>
  <si>
    <t xml:space="preserve">Clientes Platform activos</t>
  </si>
  <si>
    <t xml:space="preserve">Clientes Growth activos</t>
  </si>
  <si>
    <t xml:space="preserve">MRR Growth (USD)</t>
  </si>
  <si>
    <t xml:space="preserve">MRR Platform (USD)</t>
  </si>
  <si>
    <t xml:space="preserve">MRR Total</t>
  </si>
  <si>
    <t xml:space="preserve">ARR (annualized)</t>
  </si>
  <si>
    <t xml:space="preserve">Revenue mensual</t>
  </si>
  <si>
    <t xml:space="preserve">Payroll &amp; Headcount</t>
  </si>
  <si>
    <t xml:space="preserve">Engineer 1</t>
  </si>
  <si>
    <t xml:space="preserve">GTM</t>
  </si>
  <si>
    <t xml:space="preserve">Engineer 2</t>
  </si>
  <si>
    <t xml:space="preserve">Total Payroll</t>
  </si>
  <si>
    <t xml:space="preserve">Headcount FTE</t>
  </si>
  <si>
    <t xml:space="preserve">P&amp;L mensual</t>
  </si>
  <si>
    <t xml:space="preserve">USD</t>
  </si>
  <si>
    <t xml:space="preserve">Revenue</t>
  </si>
  <si>
    <t xml:space="preserve">Gross Profit</t>
  </si>
  <si>
    <t xml:space="preserve">Gross Margin %</t>
  </si>
  <si>
    <t xml:space="preserve">Payroll (incl. burden)</t>
  </si>
  <si>
    <t xml:space="preserve">SaaS tools</t>
  </si>
  <si>
    <t xml:space="preserve">Legal+Accounting</t>
  </si>
  <si>
    <t xml:space="preserve">Marketing</t>
  </si>
  <si>
    <t xml:space="preserve">Coworking/oficina</t>
  </si>
  <si>
    <t xml:space="preserve">Otros</t>
  </si>
  <si>
    <t xml:space="preserve">Total OPEX</t>
  </si>
  <si>
    <t xml:space="preserve">EBITDA</t>
  </si>
  <si>
    <t xml:space="preserve">Cash Flow &amp; Runway</t>
  </si>
  <si>
    <t xml:space="preserve">Resumen 24M</t>
  </si>
  <si>
    <t xml:space="preserve">Total revenue</t>
  </si>
  <si>
    <t xml:space="preserve">Funding (ronda)</t>
  </si>
  <si>
    <t xml:space="preserve">Total burn</t>
  </si>
  <si>
    <t xml:space="preserve">Cambio en cash</t>
  </si>
  <si>
    <t xml:space="preserve">Cash final M24</t>
  </si>
  <si>
    <t xml:space="preserve">ARR a M24</t>
  </si>
  <si>
    <t xml:space="preserve">Cash inicio mes</t>
  </si>
  <si>
    <t xml:space="preserve">Mes break-even (EBITDA&gt;0)</t>
  </si>
  <si>
    <t xml:space="preserve">Cash fin de mes</t>
  </si>
  <si>
    <t xml:space="preserve">Burn mensual</t>
  </si>
  <si>
    <t xml:space="preserve">Burn promedio L3M</t>
  </si>
  <si>
    <t xml:space="preserve">Runway (meses)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</si>
</sst>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[RED]&quot;($&quot;#,##0\);\-"/>
    <numFmt numFmtId="166" formatCode="#,##0;[RED]\(#,##0\);\-"/>
    <numFmt numFmtId="167" formatCode="0.0%;[RED]\(0.0%\);\-"/>
    <numFmt numFmtId="168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1F44"/>
      <name val="Arial"/>
      <family val="0"/>
      <charset val="1"/>
    </font>
    <font>
      <i val="true"/>
      <sz val="9"/>
      <color rgb="FF64748B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11"/>
      <color rgb="FF0A1F4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A1F44"/>
      <name val="Arial"/>
      <family val="0"/>
      <charset val="1"/>
    </font>
    <font>
      <b val="true"/>
      <sz val="12"/>
      <color rgb="FF0A1F4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EF1F6"/>
        <bgColor rgb="FFE8ECF4"/>
      </patternFill>
    </fill>
    <fill>
      <patternFill patternType="solid">
        <fgColor rgb="FFFDF6E3"/>
        <bgColor rgb="FFEEF1F6"/>
      </patternFill>
    </fill>
    <fill>
      <patternFill patternType="solid">
        <fgColor rgb="FF0A1F44"/>
        <bgColor rgb="FF0F172A"/>
      </patternFill>
    </fill>
    <fill>
      <patternFill patternType="solid">
        <fgColor rgb="FFE8ECF4"/>
        <bgColor rgb="FFEEF1F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6E3"/>
      <rgbColor rgb="FFE8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A1F44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3" t="s">
        <v>3</v>
      </c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8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 t="s">
        <v>9</v>
      </c>
    </row>
    <row r="16" customFormat="false" ht="15" hidden="false" customHeight="false" outlineLevel="0" collapsed="false">
      <c r="A16" s="3" t="s">
        <v>10</v>
      </c>
    </row>
    <row r="17" customFormat="false" ht="15" hidden="false" customHeight="false" outlineLevel="0" collapsed="false">
      <c r="A17" s="3" t="s">
        <v>11</v>
      </c>
    </row>
    <row r="18" customFormat="false" ht="1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3" t="s">
        <v>13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14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3" t="s">
        <v>15</v>
      </c>
    </row>
    <row r="24" customFormat="false" ht="15" hidden="false" customHeight="false" outlineLevel="0" collapsed="false">
      <c r="A24" s="3" t="s">
        <v>16</v>
      </c>
    </row>
    <row r="25" customFormat="false" ht="15" hidden="false" customHeight="false" outlineLevel="0" collapsed="false">
      <c r="A25" s="3" t="s">
        <v>17</v>
      </c>
    </row>
    <row r="26" customFormat="false" ht="15" hidden="false" customHeight="false" outlineLevel="0" collapsed="false">
      <c r="A26" s="3" t="s">
        <v>18</v>
      </c>
    </row>
    <row r="27" customFormat="false" ht="15" hidden="false" customHeight="false" outlineLevel="0" collapsed="false">
      <c r="A27" s="3" t="s">
        <v>19</v>
      </c>
    </row>
    <row r="28" customFormat="false" ht="15" hidden="false" customHeight="false" outlineLevel="0" collapsed="false">
      <c r="A28" s="3" t="s">
        <v>20</v>
      </c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4" t="s">
        <v>21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3" t="s">
        <v>22</v>
      </c>
    </row>
    <row r="33" customFormat="false" ht="15" hidden="false" customHeight="false" outlineLevel="0" collapsed="false">
      <c r="A33" s="3" t="s">
        <v>23</v>
      </c>
    </row>
    <row r="34" customFormat="false" ht="15" hidden="false" customHeight="false" outlineLevel="0" collapsed="false">
      <c r="A34" s="3" t="s">
        <v>24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25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</row>
    <row r="4" customFormat="false" ht="15" hidden="false" customHeight="false" outlineLevel="0" collapsed="false">
      <c r="A4" s="5" t="s">
        <v>27</v>
      </c>
      <c r="B4" s="6"/>
      <c r="C4" s="6"/>
      <c r="D4" s="6"/>
      <c r="E4" s="6"/>
    </row>
    <row r="5" customFormat="false" ht="15" hidden="false" customHeight="false" outlineLevel="0" collapsed="false">
      <c r="A5" s="3" t="s">
        <v>28</v>
      </c>
      <c r="B5" s="7" t="n">
        <v>0</v>
      </c>
    </row>
    <row r="6" customFormat="false" ht="15" hidden="false" customHeight="false" outlineLevel="0" collapsed="false">
      <c r="A6" s="3" t="s">
        <v>29</v>
      </c>
      <c r="B6" s="8" t="n">
        <v>890</v>
      </c>
      <c r="C6" s="9" t="s">
        <v>30</v>
      </c>
    </row>
    <row r="7" customFormat="false" ht="15" hidden="false" customHeight="false" outlineLevel="0" collapsed="false">
      <c r="A7" s="3" t="s">
        <v>31</v>
      </c>
      <c r="B7" s="8" t="n">
        <v>3000</v>
      </c>
      <c r="C7" s="9" t="s">
        <v>32</v>
      </c>
    </row>
    <row r="9" customFormat="false" ht="15" hidden="false" customHeight="false" outlineLevel="0" collapsed="false">
      <c r="A9" s="5" t="s">
        <v>33</v>
      </c>
      <c r="B9" s="6"/>
      <c r="C9" s="6"/>
      <c r="D9" s="6"/>
      <c r="E9" s="6"/>
    </row>
    <row r="10" customFormat="false" ht="15" hidden="false" customHeight="false" outlineLevel="0" collapsed="false">
      <c r="A10" s="3" t="s">
        <v>34</v>
      </c>
      <c r="B10" s="10" t="n">
        <v>0</v>
      </c>
    </row>
    <row r="11" customFormat="false" ht="15" hidden="false" customHeight="false" outlineLevel="0" collapsed="false">
      <c r="A11" s="3" t="s">
        <v>35</v>
      </c>
      <c r="B11" s="10" t="n">
        <v>1</v>
      </c>
      <c r="C11" s="9" t="s">
        <v>36</v>
      </c>
    </row>
    <row r="12" customFormat="false" ht="15" hidden="false" customHeight="false" outlineLevel="0" collapsed="false">
      <c r="A12" s="3" t="s">
        <v>37</v>
      </c>
      <c r="B12" s="10" t="n">
        <v>2</v>
      </c>
    </row>
    <row r="13" customFormat="false" ht="15" hidden="false" customHeight="false" outlineLevel="0" collapsed="false">
      <c r="A13" s="3" t="s">
        <v>38</v>
      </c>
      <c r="B13" s="10" t="n">
        <v>3</v>
      </c>
    </row>
    <row r="14" customFormat="false" ht="15" hidden="false" customHeight="false" outlineLevel="0" collapsed="false">
      <c r="A14" s="3" t="s">
        <v>39</v>
      </c>
      <c r="B14" s="11" t="n">
        <v>4</v>
      </c>
    </row>
    <row r="15" customFormat="false" ht="15" hidden="false" customHeight="false" outlineLevel="0" collapsed="false">
      <c r="A15" s="3" t="s">
        <v>40</v>
      </c>
      <c r="B15" s="10" t="n">
        <v>5</v>
      </c>
    </row>
    <row r="16" customFormat="false" ht="15" hidden="false" customHeight="false" outlineLevel="0" collapsed="false">
      <c r="A16" s="3" t="s">
        <v>41</v>
      </c>
      <c r="B16" s="11" t="n">
        <v>6</v>
      </c>
    </row>
    <row r="17" customFormat="false" ht="15" hidden="false" customHeight="false" outlineLevel="0" collapsed="false">
      <c r="A17" s="3" t="s">
        <v>42</v>
      </c>
      <c r="B17" s="10" t="n">
        <v>7</v>
      </c>
    </row>
    <row r="18" customFormat="false" ht="15" hidden="false" customHeight="false" outlineLevel="0" collapsed="false">
      <c r="A18" s="3" t="s">
        <v>43</v>
      </c>
      <c r="B18" s="11" t="n">
        <v>8</v>
      </c>
    </row>
    <row r="20" customFormat="false" ht="15" hidden="false" customHeight="false" outlineLevel="0" collapsed="false">
      <c r="A20" s="5" t="s">
        <v>44</v>
      </c>
      <c r="B20" s="6"/>
      <c r="C20" s="6"/>
      <c r="D20" s="6"/>
      <c r="E20" s="6"/>
    </row>
    <row r="21" customFormat="false" ht="15" hidden="false" customHeight="false" outlineLevel="0" collapsed="false">
      <c r="A21" s="3" t="s">
        <v>45</v>
      </c>
      <c r="B21" s="12" t="n">
        <v>0.2</v>
      </c>
      <c r="C21" s="9" t="s">
        <v>46</v>
      </c>
    </row>
    <row r="22" customFormat="false" ht="15" hidden="false" customHeight="false" outlineLevel="0" collapsed="false">
      <c r="A22" s="3" t="s">
        <v>47</v>
      </c>
      <c r="B22" s="12" t="n">
        <v>0.3</v>
      </c>
    </row>
    <row r="24" customFormat="false" ht="15" hidden="false" customHeight="false" outlineLevel="0" collapsed="false">
      <c r="A24" s="5" t="s">
        <v>48</v>
      </c>
      <c r="B24" s="6"/>
      <c r="C24" s="6"/>
      <c r="D24" s="6"/>
      <c r="E24" s="6"/>
    </row>
    <row r="25" customFormat="false" ht="15" hidden="false" customHeight="false" outlineLevel="0" collapsed="false">
      <c r="A25" s="3" t="s">
        <v>49</v>
      </c>
      <c r="B25" s="13" t="n">
        <v>0.04</v>
      </c>
      <c r="C25" s="9" t="s">
        <v>50</v>
      </c>
    </row>
    <row r="27" customFormat="false" ht="15" hidden="false" customHeight="false" outlineLevel="0" collapsed="false">
      <c r="A27" s="5" t="s">
        <v>51</v>
      </c>
      <c r="B27" s="6"/>
      <c r="C27" s="6"/>
      <c r="D27" s="6"/>
      <c r="E27" s="6"/>
    </row>
    <row r="28" customFormat="false" ht="15" hidden="false" customHeight="false" outlineLevel="0" collapsed="false">
      <c r="A28" s="3" t="s">
        <v>52</v>
      </c>
      <c r="B28" s="7" t="n">
        <v>25</v>
      </c>
      <c r="C28" s="9" t="s">
        <v>53</v>
      </c>
    </row>
    <row r="29" customFormat="false" ht="15" hidden="false" customHeight="false" outlineLevel="0" collapsed="false">
      <c r="A29" s="3" t="s">
        <v>54</v>
      </c>
      <c r="B29" s="7" t="n">
        <v>15</v>
      </c>
      <c r="C29" s="9" t="s">
        <v>55</v>
      </c>
    </row>
    <row r="31" customFormat="false" ht="15" hidden="false" customHeight="false" outlineLevel="0" collapsed="false">
      <c r="A31" s="5" t="s">
        <v>56</v>
      </c>
      <c r="B31" s="6"/>
      <c r="C31" s="6"/>
      <c r="D31" s="6"/>
      <c r="E31" s="6"/>
    </row>
    <row r="32" customFormat="false" ht="15" hidden="false" customHeight="false" outlineLevel="0" collapsed="false">
      <c r="A32" s="3" t="s">
        <v>57</v>
      </c>
      <c r="B32" s="8" t="n">
        <v>4500</v>
      </c>
      <c r="C32" s="9" t="s">
        <v>58</v>
      </c>
    </row>
    <row r="33" customFormat="false" ht="15" hidden="false" customHeight="false" outlineLevel="0" collapsed="false">
      <c r="A33" s="3" t="s">
        <v>59</v>
      </c>
      <c r="B33" s="7" t="n">
        <v>6000</v>
      </c>
    </row>
    <row r="34" customFormat="false" ht="15" hidden="false" customHeight="false" outlineLevel="0" collapsed="false">
      <c r="A34" s="3" t="s">
        <v>60</v>
      </c>
      <c r="B34" s="7" t="n">
        <v>6500</v>
      </c>
    </row>
    <row r="35" customFormat="false" ht="15" hidden="false" customHeight="false" outlineLevel="0" collapsed="false">
      <c r="A35" s="3" t="s">
        <v>61</v>
      </c>
      <c r="B35" s="7" t="n">
        <v>5500</v>
      </c>
    </row>
    <row r="36" customFormat="false" ht="15" hidden="false" customHeight="false" outlineLevel="0" collapsed="false">
      <c r="A36" s="3" t="s">
        <v>62</v>
      </c>
      <c r="B36" s="12" t="n">
        <v>0.3</v>
      </c>
      <c r="C36" s="9" t="s">
        <v>63</v>
      </c>
    </row>
    <row r="38" customFormat="false" ht="15" hidden="false" customHeight="false" outlineLevel="0" collapsed="false">
      <c r="A38" s="5" t="s">
        <v>64</v>
      </c>
      <c r="B38" s="6"/>
      <c r="C38" s="6"/>
      <c r="D38" s="6"/>
      <c r="E38" s="6"/>
    </row>
    <row r="39" customFormat="false" ht="15" hidden="false" customHeight="false" outlineLevel="0" collapsed="false">
      <c r="A39" s="3" t="s">
        <v>65</v>
      </c>
      <c r="B39" s="7" t="n">
        <v>350</v>
      </c>
      <c r="C39" s="9" t="s">
        <v>66</v>
      </c>
    </row>
    <row r="40" customFormat="false" ht="15" hidden="false" customHeight="false" outlineLevel="0" collapsed="false">
      <c r="A40" s="3" t="s">
        <v>67</v>
      </c>
      <c r="B40" s="7" t="n">
        <v>600</v>
      </c>
    </row>
    <row r="41" customFormat="false" ht="15" hidden="false" customHeight="false" outlineLevel="0" collapsed="false">
      <c r="A41" s="3" t="s">
        <v>68</v>
      </c>
      <c r="B41" s="7" t="n">
        <v>500</v>
      </c>
    </row>
    <row r="42" customFormat="false" ht="15" hidden="false" customHeight="false" outlineLevel="0" collapsed="false">
      <c r="A42" s="3" t="s">
        <v>69</v>
      </c>
      <c r="B42" s="8" t="n">
        <v>1500</v>
      </c>
    </row>
    <row r="43" customFormat="false" ht="15" hidden="false" customHeight="false" outlineLevel="0" collapsed="false">
      <c r="A43" s="3" t="s">
        <v>70</v>
      </c>
      <c r="B43" s="8" t="n">
        <v>3000</v>
      </c>
    </row>
    <row r="44" customFormat="false" ht="15" hidden="false" customHeight="false" outlineLevel="0" collapsed="false">
      <c r="A44" s="3" t="s">
        <v>71</v>
      </c>
      <c r="B44" s="7" t="n">
        <v>350</v>
      </c>
    </row>
    <row r="45" customFormat="false" ht="15" hidden="false" customHeight="false" outlineLevel="0" collapsed="false">
      <c r="A45" s="3" t="s">
        <v>72</v>
      </c>
      <c r="B45" s="7" t="n">
        <v>250</v>
      </c>
    </row>
    <row r="47" customFormat="false" ht="15" hidden="false" customHeight="false" outlineLevel="0" collapsed="false">
      <c r="A47" s="5" t="s">
        <v>73</v>
      </c>
      <c r="B47" s="6"/>
      <c r="C47" s="6"/>
      <c r="D47" s="6"/>
      <c r="E47" s="6"/>
    </row>
    <row r="48" customFormat="false" ht="15" hidden="false" customHeight="false" outlineLevel="0" collapsed="false">
      <c r="A48" s="3" t="s">
        <v>74</v>
      </c>
      <c r="B48" s="7" t="n">
        <v>0</v>
      </c>
      <c r="C48" s="9" t="s">
        <v>75</v>
      </c>
    </row>
    <row r="49" customFormat="false" ht="15" hidden="false" customHeight="false" outlineLevel="0" collapsed="false">
      <c r="A49" s="3" t="s">
        <v>76</v>
      </c>
      <c r="B49" s="8" t="n">
        <v>500000</v>
      </c>
      <c r="C49" s="9" t="s">
        <v>77</v>
      </c>
    </row>
    <row r="50" customFormat="false" ht="15" hidden="false" customHeight="false" outlineLevel="0" collapsed="false">
      <c r="A50" s="3" t="s">
        <v>78</v>
      </c>
      <c r="B50" s="10" t="n">
        <v>1</v>
      </c>
      <c r="C50" s="9" t="s">
        <v>79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5" min="2" style="0" width="10"/>
  </cols>
  <sheetData>
    <row r="1" customFormat="false" ht="19.7" hidden="false" customHeight="fals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5" hidden="false" customHeight="false" outlineLevel="0" collapsed="false">
      <c r="A3" s="3"/>
      <c r="B3" s="14" t="s">
        <v>81</v>
      </c>
      <c r="C3" s="14" t="s">
        <v>82</v>
      </c>
      <c r="D3" s="14" t="s">
        <v>83</v>
      </c>
      <c r="E3" s="14" t="s">
        <v>84</v>
      </c>
      <c r="F3" s="14" t="s">
        <v>85</v>
      </c>
      <c r="G3" s="14" t="s">
        <v>86</v>
      </c>
      <c r="H3" s="14" t="s">
        <v>87</v>
      </c>
      <c r="I3" s="14" t="s">
        <v>88</v>
      </c>
      <c r="J3" s="14" t="s">
        <v>89</v>
      </c>
      <c r="K3" s="14" t="s">
        <v>90</v>
      </c>
      <c r="L3" s="14" t="s">
        <v>91</v>
      </c>
      <c r="M3" s="14" t="s">
        <v>92</v>
      </c>
      <c r="N3" s="14" t="s">
        <v>93</v>
      </c>
      <c r="O3" s="14" t="s">
        <v>94</v>
      </c>
      <c r="P3" s="14" t="s">
        <v>95</v>
      </c>
      <c r="Q3" s="14" t="s">
        <v>96</v>
      </c>
      <c r="R3" s="14" t="s">
        <v>97</v>
      </c>
      <c r="S3" s="14" t="s">
        <v>98</v>
      </c>
      <c r="T3" s="14" t="s">
        <v>99</v>
      </c>
      <c r="U3" s="14" t="s">
        <v>100</v>
      </c>
      <c r="V3" s="14" t="s">
        <v>101</v>
      </c>
      <c r="W3" s="14" t="s">
        <v>102</v>
      </c>
      <c r="X3" s="14" t="s">
        <v>103</v>
      </c>
      <c r="Y3" s="14" t="s">
        <v>104</v>
      </c>
    </row>
    <row r="4" customFormat="false" ht="15" hidden="false" customHeight="false" outlineLevel="0" collapsed="false">
      <c r="A4" s="3" t="s">
        <v>105</v>
      </c>
      <c r="B4" s="15" t="n">
        <v>1</v>
      </c>
      <c r="C4" s="15" t="n">
        <v>2</v>
      </c>
      <c r="D4" s="15" t="n">
        <v>3</v>
      </c>
      <c r="E4" s="15" t="n">
        <v>4</v>
      </c>
      <c r="F4" s="15" t="n">
        <v>5</v>
      </c>
      <c r="G4" s="15" t="n">
        <v>6</v>
      </c>
      <c r="H4" s="15" t="n">
        <v>7</v>
      </c>
      <c r="I4" s="15" t="n">
        <v>8</v>
      </c>
      <c r="J4" s="15" t="n">
        <v>9</v>
      </c>
      <c r="K4" s="15" t="n">
        <v>10</v>
      </c>
      <c r="L4" s="15" t="n">
        <v>11</v>
      </c>
      <c r="M4" s="15" t="n">
        <v>12</v>
      </c>
      <c r="N4" s="15" t="n">
        <v>13</v>
      </c>
      <c r="O4" s="15" t="n">
        <v>14</v>
      </c>
      <c r="P4" s="15" t="n">
        <v>15</v>
      </c>
      <c r="Q4" s="15" t="n">
        <v>16</v>
      </c>
      <c r="R4" s="15" t="n">
        <v>17</v>
      </c>
      <c r="S4" s="15" t="n">
        <v>18</v>
      </c>
      <c r="T4" s="15" t="n">
        <v>19</v>
      </c>
      <c r="U4" s="15" t="n">
        <v>20</v>
      </c>
      <c r="V4" s="15" t="n">
        <v>21</v>
      </c>
      <c r="W4" s="15" t="n">
        <v>22</v>
      </c>
      <c r="X4" s="15" t="n">
        <v>23</v>
      </c>
      <c r="Y4" s="15" t="n">
        <v>24</v>
      </c>
    </row>
    <row r="5" customFormat="false" ht="15" hidden="false" customHeight="false" outlineLevel="0" collapsed="false">
      <c r="A5" s="4" t="s">
        <v>106</v>
      </c>
      <c r="B5" s="16" t="n">
        <f aca="false">ROUND(Assumptions!B10+(Assumptions!B11-Assumptions!B10)*(1-1)/(2),0)</f>
        <v>0</v>
      </c>
      <c r="C5" s="16" t="n">
        <f aca="false">ROUND(Assumptions!B10+(Assumptions!B11-Assumptions!B10)*(2-1)/(2),0)</f>
        <v>1</v>
      </c>
      <c r="D5" s="16" t="n">
        <f aca="false">ROUND(Assumptions!B10+(Assumptions!B11-Assumptions!B10)*(3-1)/(2),0)</f>
        <v>1</v>
      </c>
      <c r="E5" s="16" t="n">
        <f aca="false">ROUND(Assumptions!B11+(Assumptions!B12-Assumptions!B11)*(4-3)/(3),0)</f>
        <v>1</v>
      </c>
      <c r="F5" s="16" t="n">
        <f aca="false">ROUND(Assumptions!B11+(Assumptions!B12-Assumptions!B11)*(5-3)/(3),0)</f>
        <v>2</v>
      </c>
      <c r="G5" s="16" t="n">
        <f aca="false">ROUND(Assumptions!B11+(Assumptions!B12-Assumptions!B11)*(6-3)/(3),0)</f>
        <v>2</v>
      </c>
      <c r="H5" s="16" t="n">
        <f aca="false">ROUND(Assumptions!B12+(Assumptions!B13-Assumptions!B12)*(7-6)/(3),0)</f>
        <v>2</v>
      </c>
      <c r="I5" s="16" t="n">
        <f aca="false">ROUND(Assumptions!B12+(Assumptions!B13-Assumptions!B12)*(8-6)/(3),0)</f>
        <v>3</v>
      </c>
      <c r="J5" s="16" t="n">
        <f aca="false">ROUND(Assumptions!B12+(Assumptions!B13-Assumptions!B12)*(9-6)/(3),0)</f>
        <v>3</v>
      </c>
      <c r="K5" s="16" t="n">
        <f aca="false">ROUND(Assumptions!B13+(Assumptions!B14-Assumptions!B13)*(10-9)/(3),0)</f>
        <v>3</v>
      </c>
      <c r="L5" s="16" t="n">
        <f aca="false">ROUND(Assumptions!B13+(Assumptions!B14-Assumptions!B13)*(11-9)/(3),0)</f>
        <v>4</v>
      </c>
      <c r="M5" s="16" t="n">
        <f aca="false">ROUND(Assumptions!B13+(Assumptions!B14-Assumptions!B13)*(12-9)/(3),0)</f>
        <v>4</v>
      </c>
      <c r="N5" s="16" t="n">
        <f aca="false">ROUND(Assumptions!B14+(Assumptions!B15-Assumptions!B14)*(13-12)/(3),0)</f>
        <v>4</v>
      </c>
      <c r="O5" s="16" t="n">
        <f aca="false">ROUND(Assumptions!B14+(Assumptions!B15-Assumptions!B14)*(14-12)/(3),0)</f>
        <v>5</v>
      </c>
      <c r="P5" s="16" t="n">
        <f aca="false">ROUND(Assumptions!B14+(Assumptions!B15-Assumptions!B14)*(15-12)/(3),0)</f>
        <v>5</v>
      </c>
      <c r="Q5" s="16" t="n">
        <f aca="false">ROUND(Assumptions!B15+(Assumptions!B16-Assumptions!B15)*(16-15)/(3),0)</f>
        <v>5</v>
      </c>
      <c r="R5" s="16" t="n">
        <f aca="false">ROUND(Assumptions!B15+(Assumptions!B16-Assumptions!B15)*(17-15)/(3),0)</f>
        <v>6</v>
      </c>
      <c r="S5" s="16" t="n">
        <f aca="false">ROUND(Assumptions!B15+(Assumptions!B16-Assumptions!B15)*(18-15)/(3),0)</f>
        <v>6</v>
      </c>
      <c r="T5" s="16" t="n">
        <f aca="false">ROUND(Assumptions!B16+(Assumptions!B17-Assumptions!B16)*(19-18)/(3),0)</f>
        <v>6</v>
      </c>
      <c r="U5" s="16" t="n">
        <f aca="false">ROUND(Assumptions!B16+(Assumptions!B17-Assumptions!B16)*(20-18)/(3),0)</f>
        <v>7</v>
      </c>
      <c r="V5" s="16" t="n">
        <f aca="false">ROUND(Assumptions!B16+(Assumptions!B17-Assumptions!B16)*(21-18)/(3),0)</f>
        <v>7</v>
      </c>
      <c r="W5" s="16" t="n">
        <f aca="false">ROUND(Assumptions!B17+(Assumptions!B18-Assumptions!B17)*(22-21)/(3),0)</f>
        <v>7</v>
      </c>
      <c r="X5" s="16" t="n">
        <f aca="false">ROUND(Assumptions!B17+(Assumptions!B18-Assumptions!B17)*(23-21)/(3),0)</f>
        <v>8</v>
      </c>
      <c r="Y5" s="16" t="n">
        <f aca="false">ROUND(Assumptions!B17+(Assumptions!B18-Assumptions!B17)*(24-21)/(3),0)</f>
        <v>8</v>
      </c>
    </row>
    <row r="6" customFormat="false" ht="15" hidden="false" customHeight="false" outlineLevel="0" collapsed="false">
      <c r="A6" s="4" t="s">
        <v>107</v>
      </c>
      <c r="B6" s="17" t="n">
        <f aca="false">B5</f>
        <v>0</v>
      </c>
      <c r="C6" s="17" t="n">
        <f aca="false">B6*(1-Assumptions!B25)+C5</f>
        <v>1</v>
      </c>
      <c r="D6" s="17" t="n">
        <f aca="false">C6*(1-Assumptions!B25)+D5</f>
        <v>1.96</v>
      </c>
      <c r="E6" s="17" t="n">
        <f aca="false">D6*(1-Assumptions!B25)+E5</f>
        <v>2.8816</v>
      </c>
      <c r="F6" s="17" t="n">
        <f aca="false">E6*(1-Assumptions!B25)+F5</f>
        <v>4.766336</v>
      </c>
      <c r="G6" s="17" t="n">
        <f aca="false">F6*(1-Assumptions!B25)+G5</f>
        <v>6.57568256</v>
      </c>
      <c r="H6" s="17" t="n">
        <f aca="false">G6*(1-Assumptions!B25)+H5</f>
        <v>8.3126552576</v>
      </c>
      <c r="I6" s="17" t="n">
        <f aca="false">H6*(1-Assumptions!B25)+I5</f>
        <v>10.980149047296</v>
      </c>
      <c r="J6" s="17" t="n">
        <f aca="false">I6*(1-Assumptions!B25)+J5</f>
        <v>13.5409430854042</v>
      </c>
      <c r="K6" s="17" t="n">
        <f aca="false">J6*(1-Assumptions!B25)+K5</f>
        <v>15.999305361988</v>
      </c>
      <c r="L6" s="17" t="n">
        <f aca="false">K6*(1-Assumptions!B25)+L5</f>
        <v>19.3593331475085</v>
      </c>
      <c r="M6" s="17" t="n">
        <f aca="false">L6*(1-Assumptions!B25)+M5</f>
        <v>22.5849598216081</v>
      </c>
      <c r="N6" s="17" t="n">
        <f aca="false">M6*(1-Assumptions!B25)+N5</f>
        <v>25.6815614287438</v>
      </c>
      <c r="O6" s="17" t="n">
        <f aca="false">N6*(1-Assumptions!B25)+O5</f>
        <v>29.6542989715941</v>
      </c>
      <c r="P6" s="17" t="n">
        <f aca="false">O6*(1-Assumptions!B25)+P5</f>
        <v>33.4681270127303</v>
      </c>
      <c r="Q6" s="17" t="n">
        <f aca="false">P6*(1-Assumptions!B25)+Q5</f>
        <v>37.1294019322211</v>
      </c>
      <c r="R6" s="17" t="n">
        <f aca="false">Q6*(1-Assumptions!B25)+R5</f>
        <v>41.6442258549322</v>
      </c>
      <c r="S6" s="17" t="n">
        <f aca="false">R6*(1-Assumptions!B25)+S5</f>
        <v>45.978456820735</v>
      </c>
      <c r="T6" s="17" t="n">
        <f aca="false">S6*(1-Assumptions!B25)+T5</f>
        <v>50.1393185479055</v>
      </c>
      <c r="U6" s="17" t="n">
        <f aca="false">T6*(1-Assumptions!B25)+U5</f>
        <v>55.1337458059893</v>
      </c>
      <c r="V6" s="17" t="n">
        <f aca="false">U6*(1-Assumptions!B25)+V5</f>
        <v>59.9283959737497</v>
      </c>
      <c r="W6" s="17" t="n">
        <f aca="false">V6*(1-Assumptions!B25)+W5</f>
        <v>64.5312601347998</v>
      </c>
      <c r="X6" s="17" t="n">
        <f aca="false">W6*(1-Assumptions!B25)+X5</f>
        <v>69.9500097294078</v>
      </c>
      <c r="Y6" s="17" t="n">
        <f aca="false">X6*(1-Assumptions!B25)+Y5</f>
        <v>75.1520093402314</v>
      </c>
    </row>
    <row r="7" customFormat="false" ht="15" hidden="false" customHeight="false" outlineLevel="0" collapsed="false">
      <c r="A7" s="3" t="s">
        <v>108</v>
      </c>
      <c r="B7" s="18" t="n">
        <f aca="false">Assumptions!B21</f>
        <v>0.2</v>
      </c>
      <c r="C7" s="18" t="n">
        <f aca="false">Assumptions!B21</f>
        <v>0.2</v>
      </c>
      <c r="D7" s="18" t="n">
        <f aca="false">Assumptions!B21</f>
        <v>0.2</v>
      </c>
      <c r="E7" s="18" t="n">
        <f aca="false">Assumptions!B21</f>
        <v>0.2</v>
      </c>
      <c r="F7" s="18" t="n">
        <f aca="false">Assumptions!B21</f>
        <v>0.2</v>
      </c>
      <c r="G7" s="18" t="n">
        <f aca="false">Assumptions!B21</f>
        <v>0.2</v>
      </c>
      <c r="H7" s="18" t="n">
        <f aca="false">Assumptions!B21</f>
        <v>0.2</v>
      </c>
      <c r="I7" s="18" t="n">
        <f aca="false">Assumptions!B21</f>
        <v>0.2</v>
      </c>
      <c r="J7" s="18" t="n">
        <f aca="false">Assumptions!B21</f>
        <v>0.2</v>
      </c>
      <c r="K7" s="18" t="n">
        <f aca="false">Assumptions!B21</f>
        <v>0.2</v>
      </c>
      <c r="L7" s="18" t="n">
        <f aca="false">Assumptions!B21</f>
        <v>0.2</v>
      </c>
      <c r="M7" s="18" t="n">
        <f aca="false">Assumptions!B21</f>
        <v>0.2</v>
      </c>
      <c r="N7" s="18" t="n">
        <f aca="false">Assumptions!B22</f>
        <v>0.3</v>
      </c>
      <c r="O7" s="18" t="n">
        <f aca="false">Assumptions!B22</f>
        <v>0.3</v>
      </c>
      <c r="P7" s="18" t="n">
        <f aca="false">Assumptions!B22</f>
        <v>0.3</v>
      </c>
      <c r="Q7" s="18" t="n">
        <f aca="false">Assumptions!B22</f>
        <v>0.3</v>
      </c>
      <c r="R7" s="18" t="n">
        <f aca="false">Assumptions!B22</f>
        <v>0.3</v>
      </c>
      <c r="S7" s="18" t="n">
        <f aca="false">Assumptions!B22</f>
        <v>0.3</v>
      </c>
      <c r="T7" s="18" t="n">
        <f aca="false">Assumptions!B22</f>
        <v>0.3</v>
      </c>
      <c r="U7" s="18" t="n">
        <f aca="false">Assumptions!B22</f>
        <v>0.3</v>
      </c>
      <c r="V7" s="18" t="n">
        <f aca="false">Assumptions!B22</f>
        <v>0.3</v>
      </c>
      <c r="W7" s="18" t="n">
        <f aca="false">Assumptions!B22</f>
        <v>0.3</v>
      </c>
      <c r="X7" s="18" t="n">
        <f aca="false">Assumptions!B22</f>
        <v>0.3</v>
      </c>
      <c r="Y7" s="18" t="n">
        <f aca="false">Assumptions!B22</f>
        <v>0.3</v>
      </c>
    </row>
    <row r="8" customFormat="false" ht="15" hidden="false" customHeight="false" outlineLevel="0" collapsed="false">
      <c r="A8" s="3" t="s">
        <v>109</v>
      </c>
      <c r="B8" s="17" t="n">
        <f aca="false">ROUND(B6*B7,0)</f>
        <v>0</v>
      </c>
      <c r="C8" s="17" t="n">
        <f aca="false">ROUND(C6*C7,0)</f>
        <v>0</v>
      </c>
      <c r="D8" s="17" t="n">
        <f aca="false">ROUND(D6*D7,0)</f>
        <v>0</v>
      </c>
      <c r="E8" s="17" t="n">
        <f aca="false">ROUND(E6*E7,0)</f>
        <v>1</v>
      </c>
      <c r="F8" s="17" t="n">
        <f aca="false">ROUND(F6*F7,0)</f>
        <v>1</v>
      </c>
      <c r="G8" s="17" t="n">
        <f aca="false">ROUND(G6*G7,0)</f>
        <v>1</v>
      </c>
      <c r="H8" s="17" t="n">
        <f aca="false">ROUND(H6*H7,0)</f>
        <v>2</v>
      </c>
      <c r="I8" s="17" t="n">
        <f aca="false">ROUND(I6*I7,0)</f>
        <v>2</v>
      </c>
      <c r="J8" s="17" t="n">
        <f aca="false">ROUND(J6*J7,0)</f>
        <v>3</v>
      </c>
      <c r="K8" s="17" t="n">
        <f aca="false">ROUND(K6*K7,0)</f>
        <v>3</v>
      </c>
      <c r="L8" s="17" t="n">
        <f aca="false">ROUND(L6*L7,0)</f>
        <v>4</v>
      </c>
      <c r="M8" s="17" t="n">
        <f aca="false">ROUND(M6*M7,0)</f>
        <v>5</v>
      </c>
      <c r="N8" s="17" t="n">
        <f aca="false">ROUND(N6*N7,0)</f>
        <v>8</v>
      </c>
      <c r="O8" s="17" t="n">
        <f aca="false">ROUND(O6*O7,0)</f>
        <v>9</v>
      </c>
      <c r="P8" s="17" t="n">
        <f aca="false">ROUND(P6*P7,0)</f>
        <v>10</v>
      </c>
      <c r="Q8" s="17" t="n">
        <f aca="false">ROUND(Q6*Q7,0)</f>
        <v>11</v>
      </c>
      <c r="R8" s="17" t="n">
        <f aca="false">ROUND(R6*R7,0)</f>
        <v>12</v>
      </c>
      <c r="S8" s="17" t="n">
        <f aca="false">ROUND(S6*S7,0)</f>
        <v>14</v>
      </c>
      <c r="T8" s="17" t="n">
        <f aca="false">ROUND(T6*T7,0)</f>
        <v>15</v>
      </c>
      <c r="U8" s="17" t="n">
        <f aca="false">ROUND(U6*U7,0)</f>
        <v>17</v>
      </c>
      <c r="V8" s="17" t="n">
        <f aca="false">ROUND(V6*V7,0)</f>
        <v>18</v>
      </c>
      <c r="W8" s="17" t="n">
        <f aca="false">ROUND(W6*W7,0)</f>
        <v>19</v>
      </c>
      <c r="X8" s="17" t="n">
        <f aca="false">ROUND(X6*X7,0)</f>
        <v>21</v>
      </c>
      <c r="Y8" s="17" t="n">
        <f aca="false">ROUND(Y6*Y7,0)</f>
        <v>23</v>
      </c>
    </row>
    <row r="9" customFormat="false" ht="15" hidden="false" customHeight="false" outlineLevel="0" collapsed="false">
      <c r="A9" s="3" t="s">
        <v>110</v>
      </c>
      <c r="B9" s="17" t="n">
        <f aca="false">B6-B8</f>
        <v>0</v>
      </c>
      <c r="C9" s="17" t="n">
        <f aca="false">C6-C8</f>
        <v>1</v>
      </c>
      <c r="D9" s="17" t="n">
        <f aca="false">D6-D8</f>
        <v>1.96</v>
      </c>
      <c r="E9" s="17" t="n">
        <f aca="false">E6-E8</f>
        <v>1.8816</v>
      </c>
      <c r="F9" s="17" t="n">
        <f aca="false">F6-F8</f>
        <v>3.766336</v>
      </c>
      <c r="G9" s="17" t="n">
        <f aca="false">G6-G8</f>
        <v>5.57568256</v>
      </c>
      <c r="H9" s="17" t="n">
        <f aca="false">H6-H8</f>
        <v>6.3126552576</v>
      </c>
      <c r="I9" s="17" t="n">
        <f aca="false">I6-I8</f>
        <v>8.980149047296</v>
      </c>
      <c r="J9" s="17" t="n">
        <f aca="false">J6-J8</f>
        <v>10.5409430854042</v>
      </c>
      <c r="K9" s="17" t="n">
        <f aca="false">K6-K8</f>
        <v>12.999305361988</v>
      </c>
      <c r="L9" s="17" t="n">
        <f aca="false">L6-L8</f>
        <v>15.3593331475085</v>
      </c>
      <c r="M9" s="17" t="n">
        <f aca="false">M6-M8</f>
        <v>17.5849598216081</v>
      </c>
      <c r="N9" s="17" t="n">
        <f aca="false">N6-N8</f>
        <v>17.6815614287438</v>
      </c>
      <c r="O9" s="17" t="n">
        <f aca="false">O6-O8</f>
        <v>20.6542989715941</v>
      </c>
      <c r="P9" s="17" t="n">
        <f aca="false">P6-P8</f>
        <v>23.4681270127303</v>
      </c>
      <c r="Q9" s="17" t="n">
        <f aca="false">Q6-Q8</f>
        <v>26.1294019322211</v>
      </c>
      <c r="R9" s="17" t="n">
        <f aca="false">R6-R8</f>
        <v>29.6442258549322</v>
      </c>
      <c r="S9" s="17" t="n">
        <f aca="false">S6-S8</f>
        <v>31.9784568207349</v>
      </c>
      <c r="T9" s="17" t="n">
        <f aca="false">T6-T8</f>
        <v>35.1393185479055</v>
      </c>
      <c r="U9" s="17" t="n">
        <f aca="false">U6-U8</f>
        <v>38.1337458059893</v>
      </c>
      <c r="V9" s="17" t="n">
        <f aca="false">V6-V8</f>
        <v>41.9283959737497</v>
      </c>
      <c r="W9" s="17" t="n">
        <f aca="false">W6-W8</f>
        <v>45.5312601347998</v>
      </c>
      <c r="X9" s="17" t="n">
        <f aca="false">X6-X8</f>
        <v>48.9500097294078</v>
      </c>
      <c r="Y9" s="17" t="n">
        <f aca="false">Y6-Y8</f>
        <v>52.1520093402314</v>
      </c>
    </row>
    <row r="11" customFormat="false" ht="15" hidden="false" customHeight="false" outlineLevel="0" collapsed="false">
      <c r="A11" s="3" t="s">
        <v>111</v>
      </c>
      <c r="B11" s="19" t="n">
        <f aca="false">B9*Assumptions!B6</f>
        <v>0</v>
      </c>
      <c r="C11" s="19" t="n">
        <f aca="false">C9*Assumptions!B6</f>
        <v>890</v>
      </c>
      <c r="D11" s="19" t="n">
        <f aca="false">D9*Assumptions!B6</f>
        <v>1744.4</v>
      </c>
      <c r="E11" s="19" t="n">
        <f aca="false">E9*Assumptions!B6</f>
        <v>1674.624</v>
      </c>
      <c r="F11" s="19" t="n">
        <f aca="false">F9*Assumptions!B6</f>
        <v>3352.03904</v>
      </c>
      <c r="G11" s="19" t="n">
        <f aca="false">G9*Assumptions!B6</f>
        <v>4962.3574784</v>
      </c>
      <c r="H11" s="19" t="n">
        <f aca="false">H9*Assumptions!B6</f>
        <v>5618.263179264</v>
      </c>
      <c r="I11" s="19" t="n">
        <f aca="false">I9*Assumptions!B6</f>
        <v>7992.33265209344</v>
      </c>
      <c r="J11" s="19" t="n">
        <f aca="false">J9*Assumptions!B6</f>
        <v>9381.4393460097</v>
      </c>
      <c r="K11" s="19" t="n">
        <f aca="false">K9*Assumptions!B6</f>
        <v>11569.3817721693</v>
      </c>
      <c r="L11" s="19" t="n">
        <f aca="false">L9*Assumptions!B6</f>
        <v>13669.8065012825</v>
      </c>
      <c r="M11" s="19" t="n">
        <f aca="false">M9*Assumptions!B6</f>
        <v>15650.6142412312</v>
      </c>
      <c r="N11" s="19" t="n">
        <f aca="false">N9*Assumptions!B6</f>
        <v>15736.589671582</v>
      </c>
      <c r="O11" s="19" t="n">
        <f aca="false">O9*Assumptions!B6</f>
        <v>18382.3260847187</v>
      </c>
      <c r="P11" s="19" t="n">
        <f aca="false">P9*Assumptions!B6</f>
        <v>20886.63304133</v>
      </c>
      <c r="Q11" s="19" t="n">
        <f aca="false">Q9*Assumptions!B6</f>
        <v>23255.1677196768</v>
      </c>
      <c r="R11" s="19" t="n">
        <f aca="false">R9*Assumptions!B6</f>
        <v>26383.3610108897</v>
      </c>
      <c r="S11" s="19" t="n">
        <f aca="false">S9*Assumptions!B6</f>
        <v>28460.8265704541</v>
      </c>
      <c r="T11" s="19" t="n">
        <f aca="false">T9*Assumptions!B6</f>
        <v>31273.9935076359</v>
      </c>
      <c r="U11" s="19" t="n">
        <f aca="false">U9*Assumptions!B6</f>
        <v>33939.0337673305</v>
      </c>
      <c r="V11" s="19" t="n">
        <f aca="false">V9*Assumptions!B6</f>
        <v>37316.2724166373</v>
      </c>
      <c r="W11" s="19" t="n">
        <f aca="false">W9*Assumptions!B6</f>
        <v>40522.8215199718</v>
      </c>
      <c r="X11" s="19" t="n">
        <f aca="false">X9*Assumptions!B6</f>
        <v>43565.5086591729</v>
      </c>
      <c r="Y11" s="19" t="n">
        <f aca="false">Y9*Assumptions!B6</f>
        <v>46415.288312806</v>
      </c>
    </row>
    <row r="12" customFormat="false" ht="15" hidden="false" customHeight="false" outlineLevel="0" collapsed="false">
      <c r="A12" s="3" t="s">
        <v>112</v>
      </c>
      <c r="B12" s="19" t="n">
        <f aca="false">B8*Assumptions!B7</f>
        <v>0</v>
      </c>
      <c r="C12" s="19" t="n">
        <f aca="false">C8*Assumptions!B7</f>
        <v>0</v>
      </c>
      <c r="D12" s="19" t="n">
        <f aca="false">D8*Assumptions!B7</f>
        <v>0</v>
      </c>
      <c r="E12" s="19" t="n">
        <f aca="false">E8*Assumptions!B7</f>
        <v>3000</v>
      </c>
      <c r="F12" s="19" t="n">
        <f aca="false">F8*Assumptions!B7</f>
        <v>3000</v>
      </c>
      <c r="G12" s="19" t="n">
        <f aca="false">G8*Assumptions!B7</f>
        <v>3000</v>
      </c>
      <c r="H12" s="19" t="n">
        <f aca="false">H8*Assumptions!B7</f>
        <v>6000</v>
      </c>
      <c r="I12" s="19" t="n">
        <f aca="false">I8*Assumptions!B7</f>
        <v>6000</v>
      </c>
      <c r="J12" s="19" t="n">
        <f aca="false">J8*Assumptions!B7</f>
        <v>9000</v>
      </c>
      <c r="K12" s="19" t="n">
        <f aca="false">K8*Assumptions!B7</f>
        <v>9000</v>
      </c>
      <c r="L12" s="19" t="n">
        <f aca="false">L8*Assumptions!B7</f>
        <v>12000</v>
      </c>
      <c r="M12" s="19" t="n">
        <f aca="false">M8*Assumptions!B7</f>
        <v>15000</v>
      </c>
      <c r="N12" s="19" t="n">
        <f aca="false">N8*Assumptions!B7</f>
        <v>24000</v>
      </c>
      <c r="O12" s="19" t="n">
        <f aca="false">O8*Assumptions!B7</f>
        <v>27000</v>
      </c>
      <c r="P12" s="19" t="n">
        <f aca="false">P8*Assumptions!B7</f>
        <v>30000</v>
      </c>
      <c r="Q12" s="19" t="n">
        <f aca="false">Q8*Assumptions!B7</f>
        <v>33000</v>
      </c>
      <c r="R12" s="19" t="n">
        <f aca="false">R8*Assumptions!B7</f>
        <v>36000</v>
      </c>
      <c r="S12" s="19" t="n">
        <f aca="false">S8*Assumptions!B7</f>
        <v>42000</v>
      </c>
      <c r="T12" s="19" t="n">
        <f aca="false">T8*Assumptions!B7</f>
        <v>45000</v>
      </c>
      <c r="U12" s="19" t="n">
        <f aca="false">U8*Assumptions!B7</f>
        <v>51000</v>
      </c>
      <c r="V12" s="19" t="n">
        <f aca="false">V8*Assumptions!B7</f>
        <v>54000</v>
      </c>
      <c r="W12" s="19" t="n">
        <f aca="false">W8*Assumptions!B7</f>
        <v>57000</v>
      </c>
      <c r="X12" s="19" t="n">
        <f aca="false">X8*Assumptions!B7</f>
        <v>63000</v>
      </c>
      <c r="Y12" s="19" t="n">
        <f aca="false">Y8*Assumptions!B7</f>
        <v>69000</v>
      </c>
    </row>
    <row r="13" customFormat="false" ht="15" hidden="false" customHeight="false" outlineLevel="0" collapsed="false">
      <c r="A13" s="20" t="s">
        <v>113</v>
      </c>
      <c r="B13" s="21" t="n">
        <f aca="false">B11+B12</f>
        <v>0</v>
      </c>
      <c r="C13" s="21" t="n">
        <f aca="false">C11+C12</f>
        <v>890</v>
      </c>
      <c r="D13" s="21" t="n">
        <f aca="false">D11+D12</f>
        <v>1744.4</v>
      </c>
      <c r="E13" s="21" t="n">
        <f aca="false">E11+E12</f>
        <v>4674.624</v>
      </c>
      <c r="F13" s="21" t="n">
        <f aca="false">F11+F12</f>
        <v>6352.03904</v>
      </c>
      <c r="G13" s="21" t="n">
        <f aca="false">G11+G12</f>
        <v>7962.3574784</v>
      </c>
      <c r="H13" s="21" t="n">
        <f aca="false">H11+H12</f>
        <v>11618.263179264</v>
      </c>
      <c r="I13" s="21" t="n">
        <f aca="false">I11+I12</f>
        <v>13992.3326520934</v>
      </c>
      <c r="J13" s="21" t="n">
        <f aca="false">J11+J12</f>
        <v>18381.4393460097</v>
      </c>
      <c r="K13" s="21" t="n">
        <f aca="false">K11+K12</f>
        <v>20569.3817721693</v>
      </c>
      <c r="L13" s="21" t="n">
        <f aca="false">L11+L12</f>
        <v>25669.8065012825</v>
      </c>
      <c r="M13" s="21" t="n">
        <f aca="false">M11+M12</f>
        <v>30650.6142412312</v>
      </c>
      <c r="N13" s="21" t="n">
        <f aca="false">N11+N12</f>
        <v>39736.589671582</v>
      </c>
      <c r="O13" s="21" t="n">
        <f aca="false">O11+O12</f>
        <v>45382.3260847187</v>
      </c>
      <c r="P13" s="21" t="n">
        <f aca="false">P11+P12</f>
        <v>50886.63304133</v>
      </c>
      <c r="Q13" s="21" t="n">
        <f aca="false">Q11+Q12</f>
        <v>56255.1677196768</v>
      </c>
      <c r="R13" s="21" t="n">
        <f aca="false">R11+R12</f>
        <v>62383.3610108897</v>
      </c>
      <c r="S13" s="21" t="n">
        <f aca="false">S11+S12</f>
        <v>70460.8265704541</v>
      </c>
      <c r="T13" s="21" t="n">
        <f aca="false">T11+T12</f>
        <v>76273.9935076359</v>
      </c>
      <c r="U13" s="21" t="n">
        <f aca="false">U11+U12</f>
        <v>84939.0337673305</v>
      </c>
      <c r="V13" s="21" t="n">
        <f aca="false">V11+V12</f>
        <v>91316.2724166373</v>
      </c>
      <c r="W13" s="21" t="n">
        <f aca="false">W11+W12</f>
        <v>97522.8215199718</v>
      </c>
      <c r="X13" s="21" t="n">
        <f aca="false">X11+X12</f>
        <v>106565.508659173</v>
      </c>
      <c r="Y13" s="21" t="n">
        <f aca="false">Y11+Y12</f>
        <v>115415.288312806</v>
      </c>
    </row>
    <row r="14" customFormat="false" ht="15" hidden="false" customHeight="false" outlineLevel="0" collapsed="false">
      <c r="A14" s="22" t="s">
        <v>114</v>
      </c>
      <c r="B14" s="19" t="n">
        <f aca="false">B13*12</f>
        <v>0</v>
      </c>
      <c r="C14" s="19" t="n">
        <f aca="false">C13*12</f>
        <v>10680</v>
      </c>
      <c r="D14" s="19" t="n">
        <f aca="false">D13*12</f>
        <v>20932.8</v>
      </c>
      <c r="E14" s="19" t="n">
        <f aca="false">E13*12</f>
        <v>56095.488</v>
      </c>
      <c r="F14" s="19" t="n">
        <f aca="false">F13*12</f>
        <v>76224.46848</v>
      </c>
      <c r="G14" s="19" t="n">
        <f aca="false">G13*12</f>
        <v>95548.2897408</v>
      </c>
      <c r="H14" s="19" t="n">
        <f aca="false">H13*12</f>
        <v>139419.158151168</v>
      </c>
      <c r="I14" s="19" t="n">
        <f aca="false">I13*12</f>
        <v>167907.991825121</v>
      </c>
      <c r="J14" s="19" t="n">
        <f aca="false">J13*12</f>
        <v>220577.272152116</v>
      </c>
      <c r="K14" s="19" t="n">
        <f aca="false">K13*12</f>
        <v>246832.581266032</v>
      </c>
      <c r="L14" s="19" t="n">
        <f aca="false">L13*12</f>
        <v>308037.67801539</v>
      </c>
      <c r="M14" s="19" t="n">
        <f aca="false">M13*12</f>
        <v>367807.370894775</v>
      </c>
      <c r="N14" s="19" t="n">
        <f aca="false">N13*12</f>
        <v>476839.076058984</v>
      </c>
      <c r="O14" s="19" t="n">
        <f aca="false">O13*12</f>
        <v>544587.913016625</v>
      </c>
      <c r="P14" s="19" t="n">
        <f aca="false">P13*12</f>
        <v>610639.596495959</v>
      </c>
      <c r="Q14" s="19" t="n">
        <f aca="false">Q13*12</f>
        <v>675062.012636121</v>
      </c>
      <c r="R14" s="19" t="n">
        <f aca="false">R13*12</f>
        <v>748600.332130676</v>
      </c>
      <c r="S14" s="19" t="n">
        <f aca="false">S13*12</f>
        <v>845529.918845449</v>
      </c>
      <c r="T14" s="19" t="n">
        <f aca="false">T13*12</f>
        <v>915287.922091631</v>
      </c>
      <c r="U14" s="19" t="n">
        <f aca="false">U13*12</f>
        <v>1019268.40520797</v>
      </c>
      <c r="V14" s="19" t="n">
        <f aca="false">V13*12</f>
        <v>1095795.26899965</v>
      </c>
      <c r="W14" s="19" t="n">
        <f aca="false">W13*12</f>
        <v>1170273.85823966</v>
      </c>
      <c r="X14" s="19" t="n">
        <f aca="false">X13*12</f>
        <v>1278786.10391007</v>
      </c>
      <c r="Y14" s="19" t="n">
        <f aca="false">Y13*12</f>
        <v>1384983.45975367</v>
      </c>
    </row>
    <row r="16" customFormat="false" ht="15" hidden="false" customHeight="false" outlineLevel="0" collapsed="false">
      <c r="A16" s="5" t="s">
        <v>115</v>
      </c>
      <c r="B16" s="23" t="n">
        <f aca="false">B13</f>
        <v>0</v>
      </c>
      <c r="C16" s="23" t="n">
        <f aca="false">C13</f>
        <v>890</v>
      </c>
      <c r="D16" s="23" t="n">
        <f aca="false">D13</f>
        <v>1744.4</v>
      </c>
      <c r="E16" s="23" t="n">
        <f aca="false">E13</f>
        <v>4674.624</v>
      </c>
      <c r="F16" s="23" t="n">
        <f aca="false">F13</f>
        <v>6352.03904</v>
      </c>
      <c r="G16" s="23" t="n">
        <f aca="false">G13</f>
        <v>7962.3574784</v>
      </c>
      <c r="H16" s="23" t="n">
        <f aca="false">H13</f>
        <v>11618.263179264</v>
      </c>
      <c r="I16" s="23" t="n">
        <f aca="false">I13</f>
        <v>13992.3326520934</v>
      </c>
      <c r="J16" s="23" t="n">
        <f aca="false">J13</f>
        <v>18381.4393460097</v>
      </c>
      <c r="K16" s="23" t="n">
        <f aca="false">K13</f>
        <v>20569.3817721693</v>
      </c>
      <c r="L16" s="23" t="n">
        <f aca="false">L13</f>
        <v>25669.8065012825</v>
      </c>
      <c r="M16" s="23" t="n">
        <f aca="false">M13</f>
        <v>30650.6142412312</v>
      </c>
      <c r="N16" s="23" t="n">
        <f aca="false">N13</f>
        <v>39736.589671582</v>
      </c>
      <c r="O16" s="23" t="n">
        <f aca="false">O13</f>
        <v>45382.3260847187</v>
      </c>
      <c r="P16" s="23" t="n">
        <f aca="false">P13</f>
        <v>50886.63304133</v>
      </c>
      <c r="Q16" s="23" t="n">
        <f aca="false">Q13</f>
        <v>56255.1677196768</v>
      </c>
      <c r="R16" s="23" t="n">
        <f aca="false">R13</f>
        <v>62383.3610108897</v>
      </c>
      <c r="S16" s="23" t="n">
        <f aca="false">S13</f>
        <v>70460.8265704541</v>
      </c>
      <c r="T16" s="23" t="n">
        <f aca="false">T13</f>
        <v>76273.9935076359</v>
      </c>
      <c r="U16" s="23" t="n">
        <f aca="false">U13</f>
        <v>84939.0337673305</v>
      </c>
      <c r="V16" s="23" t="n">
        <f aca="false">V13</f>
        <v>91316.2724166373</v>
      </c>
      <c r="W16" s="23" t="n">
        <f aca="false">W13</f>
        <v>97522.8215199718</v>
      </c>
      <c r="X16" s="23" t="n">
        <f aca="false">X13</f>
        <v>106565.508659173</v>
      </c>
      <c r="Y16" s="23" t="n">
        <f aca="false">Y13</f>
        <v>115415.288312806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5" min="2" style="0" width="10"/>
  </cols>
  <sheetData>
    <row r="1" customFormat="false" ht="19.7" hidden="false" customHeight="false" outlineLevel="0" collapsed="false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5" hidden="false" customHeight="false" outlineLevel="0" collapsed="false">
      <c r="A3" s="3"/>
      <c r="B3" s="14" t="s">
        <v>81</v>
      </c>
      <c r="C3" s="14" t="s">
        <v>82</v>
      </c>
      <c r="D3" s="14" t="s">
        <v>83</v>
      </c>
      <c r="E3" s="14" t="s">
        <v>84</v>
      </c>
      <c r="F3" s="14" t="s">
        <v>85</v>
      </c>
      <c r="G3" s="14" t="s">
        <v>86</v>
      </c>
      <c r="H3" s="14" t="s">
        <v>87</v>
      </c>
      <c r="I3" s="14" t="s">
        <v>88</v>
      </c>
      <c r="J3" s="14" t="s">
        <v>89</v>
      </c>
      <c r="K3" s="14" t="s">
        <v>90</v>
      </c>
      <c r="L3" s="14" t="s">
        <v>91</v>
      </c>
      <c r="M3" s="14" t="s">
        <v>92</v>
      </c>
      <c r="N3" s="14" t="s">
        <v>93</v>
      </c>
      <c r="O3" s="14" t="s">
        <v>94</v>
      </c>
      <c r="P3" s="14" t="s">
        <v>95</v>
      </c>
      <c r="Q3" s="14" t="s">
        <v>96</v>
      </c>
      <c r="R3" s="14" t="s">
        <v>97</v>
      </c>
      <c r="S3" s="14" t="s">
        <v>98</v>
      </c>
      <c r="T3" s="14" t="s">
        <v>99</v>
      </c>
      <c r="U3" s="14" t="s">
        <v>100</v>
      </c>
      <c r="V3" s="14" t="s">
        <v>101</v>
      </c>
      <c r="W3" s="14" t="s">
        <v>102</v>
      </c>
      <c r="X3" s="14" t="s">
        <v>103</v>
      </c>
      <c r="Y3" s="14" t="s">
        <v>104</v>
      </c>
    </row>
    <row r="5" customFormat="false" ht="15" hidden="false" customHeight="false" outlineLevel="0" collapsed="false">
      <c r="A5" s="3" t="s">
        <v>57</v>
      </c>
      <c r="B5" s="24" t="n">
        <f aca="false">Assumptions!B32*(1+Assumptions!B36)</f>
        <v>5850</v>
      </c>
      <c r="C5" s="24" t="n">
        <f aca="false">Assumptions!B32*(1+Assumptions!B36)</f>
        <v>5850</v>
      </c>
      <c r="D5" s="24" t="n">
        <f aca="false">Assumptions!B32*(1+Assumptions!B36)</f>
        <v>5850</v>
      </c>
      <c r="E5" s="24" t="n">
        <f aca="false">Assumptions!B32*(1+Assumptions!B36)</f>
        <v>5850</v>
      </c>
      <c r="F5" s="24" t="n">
        <f aca="false">Assumptions!B32*(1+Assumptions!B36)</f>
        <v>5850</v>
      </c>
      <c r="G5" s="24" t="n">
        <f aca="false">Assumptions!B32*(1+Assumptions!B36)</f>
        <v>5850</v>
      </c>
      <c r="H5" s="24" t="n">
        <f aca="false">Assumptions!B32*(1+Assumptions!B36)</f>
        <v>5850</v>
      </c>
      <c r="I5" s="24" t="n">
        <f aca="false">Assumptions!B32*(1+Assumptions!B36)</f>
        <v>5850</v>
      </c>
      <c r="J5" s="24" t="n">
        <f aca="false">Assumptions!B32*(1+Assumptions!B36)</f>
        <v>5850</v>
      </c>
      <c r="K5" s="24" t="n">
        <f aca="false">Assumptions!B32*(1+Assumptions!B36)</f>
        <v>5850</v>
      </c>
      <c r="L5" s="24" t="n">
        <f aca="false">Assumptions!B32*(1+Assumptions!B36)</f>
        <v>5850</v>
      </c>
      <c r="M5" s="24" t="n">
        <f aca="false">Assumptions!B32*(1+Assumptions!B36)</f>
        <v>5850</v>
      </c>
      <c r="N5" s="24" t="n">
        <f aca="false">Assumptions!B32*(1+Assumptions!B36)</f>
        <v>5850</v>
      </c>
      <c r="O5" s="24" t="n">
        <f aca="false">Assumptions!B32*(1+Assumptions!B36)</f>
        <v>5850</v>
      </c>
      <c r="P5" s="24" t="n">
        <f aca="false">Assumptions!B32*(1+Assumptions!B36)</f>
        <v>5850</v>
      </c>
      <c r="Q5" s="24" t="n">
        <f aca="false">Assumptions!B32*(1+Assumptions!B36)</f>
        <v>5850</v>
      </c>
      <c r="R5" s="24" t="n">
        <f aca="false">Assumptions!B32*(1+Assumptions!B36)</f>
        <v>5850</v>
      </c>
      <c r="S5" s="24" t="n">
        <f aca="false">Assumptions!B32*(1+Assumptions!B36)</f>
        <v>5850</v>
      </c>
      <c r="T5" s="24" t="n">
        <f aca="false">Assumptions!B32*(1+Assumptions!B36)</f>
        <v>5850</v>
      </c>
      <c r="U5" s="24" t="n">
        <f aca="false">Assumptions!B32*(1+Assumptions!B36)</f>
        <v>5850</v>
      </c>
      <c r="V5" s="24" t="n">
        <f aca="false">Assumptions!B32*(1+Assumptions!B36)</f>
        <v>5850</v>
      </c>
      <c r="W5" s="24" t="n">
        <f aca="false">Assumptions!B32*(1+Assumptions!B36)</f>
        <v>5850</v>
      </c>
      <c r="X5" s="24" t="n">
        <f aca="false">Assumptions!B32*(1+Assumptions!B36)</f>
        <v>5850</v>
      </c>
      <c r="Y5" s="24" t="n">
        <f aca="false">Assumptions!B32*(1+Assumptions!B36)</f>
        <v>5850</v>
      </c>
    </row>
    <row r="6" customFormat="false" ht="15" hidden="false" customHeight="false" outlineLevel="0" collapsed="false">
      <c r="A6" s="3" t="s">
        <v>117</v>
      </c>
      <c r="B6" s="24" t="n">
        <f aca="false">0</f>
        <v>0</v>
      </c>
      <c r="C6" s="24" t="n">
        <f aca="false">0</f>
        <v>0</v>
      </c>
      <c r="D6" s="24" t="n">
        <f aca="false">0</f>
        <v>0</v>
      </c>
      <c r="E6" s="24" t="n">
        <f aca="false">0</f>
        <v>0</v>
      </c>
      <c r="F6" s="24" t="n">
        <f aca="false">Assumptions!B33*(1+Assumptions!B36)</f>
        <v>7800</v>
      </c>
      <c r="G6" s="24" t="n">
        <f aca="false">Assumptions!B33*(1+Assumptions!B36)</f>
        <v>7800</v>
      </c>
      <c r="H6" s="24" t="n">
        <f aca="false">Assumptions!B33*(1+Assumptions!B36)</f>
        <v>7800</v>
      </c>
      <c r="I6" s="24" t="n">
        <f aca="false">Assumptions!B33*(1+Assumptions!B36)</f>
        <v>7800</v>
      </c>
      <c r="J6" s="24" t="n">
        <f aca="false">Assumptions!B33*(1+Assumptions!B36)</f>
        <v>7800</v>
      </c>
      <c r="K6" s="24" t="n">
        <f aca="false">Assumptions!B33*(1+Assumptions!B36)</f>
        <v>7800</v>
      </c>
      <c r="L6" s="24" t="n">
        <f aca="false">Assumptions!B33*(1+Assumptions!B36)</f>
        <v>7800</v>
      </c>
      <c r="M6" s="24" t="n">
        <f aca="false">Assumptions!B33*(1+Assumptions!B36)</f>
        <v>7800</v>
      </c>
      <c r="N6" s="24" t="n">
        <f aca="false">Assumptions!B33*(1+Assumptions!B36)</f>
        <v>7800</v>
      </c>
      <c r="O6" s="24" t="n">
        <f aca="false">Assumptions!B33*(1+Assumptions!B36)</f>
        <v>7800</v>
      </c>
      <c r="P6" s="24" t="n">
        <f aca="false">Assumptions!B33*(1+Assumptions!B36)</f>
        <v>7800</v>
      </c>
      <c r="Q6" s="24" t="n">
        <f aca="false">Assumptions!B33*(1+Assumptions!B36)</f>
        <v>7800</v>
      </c>
      <c r="R6" s="24" t="n">
        <f aca="false">Assumptions!B33*(1+Assumptions!B36)</f>
        <v>7800</v>
      </c>
      <c r="S6" s="24" t="n">
        <f aca="false">Assumptions!B33*(1+Assumptions!B36)</f>
        <v>7800</v>
      </c>
      <c r="T6" s="24" t="n">
        <f aca="false">Assumptions!B33*(1+Assumptions!B36)</f>
        <v>7800</v>
      </c>
      <c r="U6" s="24" t="n">
        <f aca="false">Assumptions!B33*(1+Assumptions!B36)</f>
        <v>7800</v>
      </c>
      <c r="V6" s="24" t="n">
        <f aca="false">Assumptions!B33*(1+Assumptions!B36)</f>
        <v>7800</v>
      </c>
      <c r="W6" s="24" t="n">
        <f aca="false">Assumptions!B33*(1+Assumptions!B36)</f>
        <v>7800</v>
      </c>
      <c r="X6" s="24" t="n">
        <f aca="false">Assumptions!B33*(1+Assumptions!B36)</f>
        <v>7800</v>
      </c>
      <c r="Y6" s="24" t="n">
        <f aca="false">Assumptions!B33*(1+Assumptions!B36)</f>
        <v>7800</v>
      </c>
    </row>
    <row r="7" customFormat="false" ht="15" hidden="false" customHeight="false" outlineLevel="0" collapsed="false">
      <c r="A7" s="3" t="s">
        <v>118</v>
      </c>
      <c r="B7" s="24" t="n">
        <f aca="false">0</f>
        <v>0</v>
      </c>
      <c r="C7" s="24" t="n">
        <f aca="false">0</f>
        <v>0</v>
      </c>
      <c r="D7" s="24" t="n">
        <f aca="false">0</f>
        <v>0</v>
      </c>
      <c r="E7" s="24" t="n">
        <f aca="false">0</f>
        <v>0</v>
      </c>
      <c r="F7" s="24" t="n">
        <f aca="false">0</f>
        <v>0</v>
      </c>
      <c r="G7" s="24" t="n">
        <f aca="false">0</f>
        <v>0</v>
      </c>
      <c r="H7" s="24" t="n">
        <f aca="false">0</f>
        <v>0</v>
      </c>
      <c r="I7" s="24" t="n">
        <f aca="false">0</f>
        <v>0</v>
      </c>
      <c r="J7" s="24" t="n">
        <f aca="false">0</f>
        <v>0</v>
      </c>
      <c r="K7" s="24" t="n">
        <f aca="false">0</f>
        <v>0</v>
      </c>
      <c r="L7" s="24" t="n">
        <f aca="false">0</f>
        <v>0</v>
      </c>
      <c r="M7" s="24" t="n">
        <f aca="false">0</f>
        <v>0</v>
      </c>
      <c r="N7" s="24" t="n">
        <f aca="false">Assumptions!B35*(1+Assumptions!B36)</f>
        <v>7150</v>
      </c>
      <c r="O7" s="24" t="n">
        <f aca="false">Assumptions!B35*(1+Assumptions!B36)</f>
        <v>7150</v>
      </c>
      <c r="P7" s="24" t="n">
        <f aca="false">Assumptions!B35*(1+Assumptions!B36)</f>
        <v>7150</v>
      </c>
      <c r="Q7" s="24" t="n">
        <f aca="false">Assumptions!B35*(1+Assumptions!B36)</f>
        <v>7150</v>
      </c>
      <c r="R7" s="24" t="n">
        <f aca="false">Assumptions!B35*(1+Assumptions!B36)</f>
        <v>7150</v>
      </c>
      <c r="S7" s="24" t="n">
        <f aca="false">Assumptions!B35*(1+Assumptions!B36)</f>
        <v>7150</v>
      </c>
      <c r="T7" s="24" t="n">
        <f aca="false">Assumptions!B35*(1+Assumptions!B36)</f>
        <v>7150</v>
      </c>
      <c r="U7" s="24" t="n">
        <f aca="false">Assumptions!B35*(1+Assumptions!B36)</f>
        <v>7150</v>
      </c>
      <c r="V7" s="24" t="n">
        <f aca="false">Assumptions!B35*(1+Assumptions!B36)</f>
        <v>7150</v>
      </c>
      <c r="W7" s="24" t="n">
        <f aca="false">Assumptions!B35*(1+Assumptions!B36)</f>
        <v>7150</v>
      </c>
      <c r="X7" s="24" t="n">
        <f aca="false">Assumptions!B35*(1+Assumptions!B36)</f>
        <v>7150</v>
      </c>
      <c r="Y7" s="24" t="n">
        <f aca="false">Assumptions!B35*(1+Assumptions!B36)</f>
        <v>7150</v>
      </c>
    </row>
    <row r="8" customFormat="false" ht="15" hidden="false" customHeight="false" outlineLevel="0" collapsed="false">
      <c r="A8" s="3" t="s">
        <v>119</v>
      </c>
      <c r="B8" s="24" t="n">
        <f aca="false">0</f>
        <v>0</v>
      </c>
      <c r="C8" s="24" t="n">
        <f aca="false">0</f>
        <v>0</v>
      </c>
      <c r="D8" s="24" t="n">
        <f aca="false">0</f>
        <v>0</v>
      </c>
      <c r="E8" s="24" t="n">
        <f aca="false">0</f>
        <v>0</v>
      </c>
      <c r="F8" s="24" t="n">
        <f aca="false">0</f>
        <v>0</v>
      </c>
      <c r="G8" s="24" t="n">
        <f aca="false">0</f>
        <v>0</v>
      </c>
      <c r="H8" s="24" t="n">
        <f aca="false">0</f>
        <v>0</v>
      </c>
      <c r="I8" s="24" t="n">
        <f aca="false">0</f>
        <v>0</v>
      </c>
      <c r="J8" s="24" t="n">
        <f aca="false">0</f>
        <v>0</v>
      </c>
      <c r="K8" s="24" t="n">
        <f aca="false">0</f>
        <v>0</v>
      </c>
      <c r="L8" s="24" t="n">
        <f aca="false">0</f>
        <v>0</v>
      </c>
      <c r="M8" s="24" t="n">
        <f aca="false">0</f>
        <v>0</v>
      </c>
      <c r="N8" s="24" t="n">
        <f aca="false">0</f>
        <v>0</v>
      </c>
      <c r="O8" s="24" t="n">
        <f aca="false">0</f>
        <v>0</v>
      </c>
      <c r="P8" s="24" t="n">
        <f aca="false">Assumptions!B34*(1+Assumptions!B36)</f>
        <v>8450</v>
      </c>
      <c r="Q8" s="24" t="n">
        <f aca="false">Assumptions!B34*(1+Assumptions!B36)</f>
        <v>8450</v>
      </c>
      <c r="R8" s="24" t="n">
        <f aca="false">Assumptions!B34*(1+Assumptions!B36)</f>
        <v>8450</v>
      </c>
      <c r="S8" s="24" t="n">
        <f aca="false">Assumptions!B34*(1+Assumptions!B36)</f>
        <v>8450</v>
      </c>
      <c r="T8" s="24" t="n">
        <f aca="false">Assumptions!B34*(1+Assumptions!B36)</f>
        <v>8450</v>
      </c>
      <c r="U8" s="24" t="n">
        <f aca="false">Assumptions!B34*(1+Assumptions!B36)</f>
        <v>8450</v>
      </c>
      <c r="V8" s="24" t="n">
        <f aca="false">Assumptions!B34*(1+Assumptions!B36)</f>
        <v>8450</v>
      </c>
      <c r="W8" s="24" t="n">
        <f aca="false">Assumptions!B34*(1+Assumptions!B36)</f>
        <v>8450</v>
      </c>
      <c r="X8" s="24" t="n">
        <f aca="false">Assumptions!B34*(1+Assumptions!B36)</f>
        <v>8450</v>
      </c>
      <c r="Y8" s="24" t="n">
        <f aca="false">Assumptions!B34*(1+Assumptions!B36)</f>
        <v>8450</v>
      </c>
    </row>
    <row r="10" customFormat="false" ht="15" hidden="false" customHeight="false" outlineLevel="0" collapsed="false">
      <c r="A10" s="20" t="s">
        <v>120</v>
      </c>
      <c r="B10" s="21" t="n">
        <f aca="false">SUM(B5:B8)</f>
        <v>5850</v>
      </c>
      <c r="C10" s="21" t="n">
        <f aca="false">SUM(C5:C8)</f>
        <v>5850</v>
      </c>
      <c r="D10" s="21" t="n">
        <f aca="false">SUM(D5:D8)</f>
        <v>5850</v>
      </c>
      <c r="E10" s="21" t="n">
        <f aca="false">SUM(E5:E8)</f>
        <v>5850</v>
      </c>
      <c r="F10" s="21" t="n">
        <f aca="false">SUM(F5:F8)</f>
        <v>13650</v>
      </c>
      <c r="G10" s="21" t="n">
        <f aca="false">SUM(G5:G8)</f>
        <v>13650</v>
      </c>
      <c r="H10" s="21" t="n">
        <f aca="false">SUM(H5:H8)</f>
        <v>13650</v>
      </c>
      <c r="I10" s="21" t="n">
        <f aca="false">SUM(I5:I8)</f>
        <v>13650</v>
      </c>
      <c r="J10" s="21" t="n">
        <f aca="false">SUM(J5:J8)</f>
        <v>13650</v>
      </c>
      <c r="K10" s="21" t="n">
        <f aca="false">SUM(K5:K8)</f>
        <v>13650</v>
      </c>
      <c r="L10" s="21" t="n">
        <f aca="false">SUM(L5:L8)</f>
        <v>13650</v>
      </c>
      <c r="M10" s="21" t="n">
        <f aca="false">SUM(M5:M8)</f>
        <v>13650</v>
      </c>
      <c r="N10" s="21" t="n">
        <f aca="false">SUM(N5:N8)</f>
        <v>20800</v>
      </c>
      <c r="O10" s="21" t="n">
        <f aca="false">SUM(O5:O8)</f>
        <v>20800</v>
      </c>
      <c r="P10" s="21" t="n">
        <f aca="false">SUM(P5:P8)</f>
        <v>29250</v>
      </c>
      <c r="Q10" s="21" t="n">
        <f aca="false">SUM(Q5:Q8)</f>
        <v>29250</v>
      </c>
      <c r="R10" s="21" t="n">
        <f aca="false">SUM(R5:R8)</f>
        <v>29250</v>
      </c>
      <c r="S10" s="21" t="n">
        <f aca="false">SUM(S5:S8)</f>
        <v>29250</v>
      </c>
      <c r="T10" s="21" t="n">
        <f aca="false">SUM(T5:T8)</f>
        <v>29250</v>
      </c>
      <c r="U10" s="21" t="n">
        <f aca="false">SUM(U5:U8)</f>
        <v>29250</v>
      </c>
      <c r="V10" s="21" t="n">
        <f aca="false">SUM(V5:V8)</f>
        <v>29250</v>
      </c>
      <c r="W10" s="21" t="n">
        <f aca="false">SUM(W5:W8)</f>
        <v>29250</v>
      </c>
      <c r="X10" s="21" t="n">
        <f aca="false">SUM(X5:X8)</f>
        <v>29250</v>
      </c>
      <c r="Y10" s="21" t="n">
        <f aca="false">SUM(Y5:Y8)</f>
        <v>29250</v>
      </c>
    </row>
    <row r="12" customFormat="false" ht="15" hidden="false" customHeight="false" outlineLevel="0" collapsed="false">
      <c r="A12" s="3" t="s">
        <v>121</v>
      </c>
      <c r="B12" s="10" t="n">
        <v>1</v>
      </c>
      <c r="C12" s="10" t="n">
        <v>1</v>
      </c>
      <c r="D12" s="10" t="n">
        <v>1</v>
      </c>
      <c r="E12" s="10" t="n">
        <v>1</v>
      </c>
      <c r="F12" s="10" t="n">
        <v>2</v>
      </c>
      <c r="G12" s="10" t="n">
        <v>2</v>
      </c>
      <c r="H12" s="10" t="n">
        <v>2</v>
      </c>
      <c r="I12" s="10" t="n">
        <v>2</v>
      </c>
      <c r="J12" s="10" t="n">
        <v>2</v>
      </c>
      <c r="K12" s="10" t="n">
        <v>2</v>
      </c>
      <c r="L12" s="10" t="n">
        <v>2</v>
      </c>
      <c r="M12" s="10" t="n">
        <v>2</v>
      </c>
      <c r="N12" s="10" t="n">
        <v>3</v>
      </c>
      <c r="O12" s="10" t="n">
        <v>3</v>
      </c>
      <c r="P12" s="10" t="n">
        <v>4</v>
      </c>
      <c r="Q12" s="10" t="n">
        <v>4</v>
      </c>
      <c r="R12" s="10" t="n">
        <v>4</v>
      </c>
      <c r="S12" s="10" t="n">
        <v>4</v>
      </c>
      <c r="T12" s="10" t="n">
        <v>4</v>
      </c>
      <c r="U12" s="10" t="n">
        <v>4</v>
      </c>
      <c r="V12" s="10" t="n">
        <v>4</v>
      </c>
      <c r="W12" s="10" t="n">
        <v>4</v>
      </c>
      <c r="X12" s="10" t="n">
        <v>4</v>
      </c>
      <c r="Y12" s="10" t="n">
        <v>4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5" min="2" style="0" width="10"/>
  </cols>
  <sheetData>
    <row r="1" customFormat="false" ht="19.7" hidden="false" customHeight="false" outlineLevel="0" collapsed="false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5" hidden="false" customHeight="false" outlineLevel="0" collapsed="false">
      <c r="A3" s="3" t="s">
        <v>123</v>
      </c>
      <c r="B3" s="14" t="s">
        <v>81</v>
      </c>
      <c r="C3" s="14" t="s">
        <v>82</v>
      </c>
      <c r="D3" s="14" t="s">
        <v>83</v>
      </c>
      <c r="E3" s="14" t="s">
        <v>84</v>
      </c>
      <c r="F3" s="14" t="s">
        <v>85</v>
      </c>
      <c r="G3" s="14" t="s">
        <v>86</v>
      </c>
      <c r="H3" s="14" t="s">
        <v>87</v>
      </c>
      <c r="I3" s="14" t="s">
        <v>88</v>
      </c>
      <c r="J3" s="14" t="s">
        <v>89</v>
      </c>
      <c r="K3" s="14" t="s">
        <v>90</v>
      </c>
      <c r="L3" s="14" t="s">
        <v>91</v>
      </c>
      <c r="M3" s="14" t="s">
        <v>92</v>
      </c>
      <c r="N3" s="14" t="s">
        <v>93</v>
      </c>
      <c r="O3" s="14" t="s">
        <v>94</v>
      </c>
      <c r="P3" s="14" t="s">
        <v>95</v>
      </c>
      <c r="Q3" s="14" t="s">
        <v>96</v>
      </c>
      <c r="R3" s="14" t="s">
        <v>97</v>
      </c>
      <c r="S3" s="14" t="s">
        <v>98</v>
      </c>
      <c r="T3" s="14" t="s">
        <v>99</v>
      </c>
      <c r="U3" s="14" t="s">
        <v>100</v>
      </c>
      <c r="V3" s="14" t="s">
        <v>101</v>
      </c>
      <c r="W3" s="14" t="s">
        <v>102</v>
      </c>
      <c r="X3" s="14" t="s">
        <v>103</v>
      </c>
      <c r="Y3" s="14" t="s">
        <v>104</v>
      </c>
    </row>
    <row r="5" customFormat="false" ht="15" hidden="false" customHeight="false" outlineLevel="0" collapsed="false">
      <c r="A5" s="5" t="s">
        <v>124</v>
      </c>
      <c r="B5" s="25" t="n">
        <f aca="false">Revenue!B16</f>
        <v>0</v>
      </c>
      <c r="C5" s="25" t="n">
        <f aca="false">Revenue!C16</f>
        <v>890</v>
      </c>
      <c r="D5" s="25" t="n">
        <f aca="false">Revenue!D16</f>
        <v>1744.4</v>
      </c>
      <c r="E5" s="25" t="n">
        <f aca="false">Revenue!E16</f>
        <v>4674.624</v>
      </c>
      <c r="F5" s="25" t="n">
        <f aca="false">Revenue!F16</f>
        <v>6352.03904</v>
      </c>
      <c r="G5" s="25" t="n">
        <f aca="false">Revenue!G16</f>
        <v>7962.3574784</v>
      </c>
      <c r="H5" s="25" t="n">
        <f aca="false">Revenue!H16</f>
        <v>11618.263179264</v>
      </c>
      <c r="I5" s="25" t="n">
        <f aca="false">Revenue!I16</f>
        <v>13992.3326520934</v>
      </c>
      <c r="J5" s="25" t="n">
        <f aca="false">Revenue!J16</f>
        <v>18381.4393460097</v>
      </c>
      <c r="K5" s="25" t="n">
        <f aca="false">Revenue!K16</f>
        <v>20569.3817721693</v>
      </c>
      <c r="L5" s="25" t="n">
        <f aca="false">Revenue!L16</f>
        <v>25669.8065012825</v>
      </c>
      <c r="M5" s="25" t="n">
        <f aca="false">Revenue!M16</f>
        <v>30650.6142412312</v>
      </c>
      <c r="N5" s="25" t="n">
        <f aca="false">Revenue!N16</f>
        <v>39736.589671582</v>
      </c>
      <c r="O5" s="25" t="n">
        <f aca="false">Revenue!O16</f>
        <v>45382.3260847187</v>
      </c>
      <c r="P5" s="25" t="n">
        <f aca="false">Revenue!P16</f>
        <v>50886.63304133</v>
      </c>
      <c r="Q5" s="25" t="n">
        <f aca="false">Revenue!Q16</f>
        <v>56255.1677196768</v>
      </c>
      <c r="R5" s="25" t="n">
        <f aca="false">Revenue!R16</f>
        <v>62383.3610108897</v>
      </c>
      <c r="S5" s="25" t="n">
        <f aca="false">Revenue!S16</f>
        <v>70460.8265704541</v>
      </c>
      <c r="T5" s="25" t="n">
        <f aca="false">Revenue!T16</f>
        <v>76273.9935076359</v>
      </c>
      <c r="U5" s="25" t="n">
        <f aca="false">Revenue!U16</f>
        <v>84939.0337673305</v>
      </c>
      <c r="V5" s="25" t="n">
        <f aca="false">Revenue!V16</f>
        <v>91316.2724166373</v>
      </c>
      <c r="W5" s="25" t="n">
        <f aca="false">Revenue!W16</f>
        <v>97522.8215199718</v>
      </c>
      <c r="X5" s="25" t="n">
        <f aca="false">Revenue!X16</f>
        <v>106565.508659173</v>
      </c>
      <c r="Y5" s="25" t="n">
        <f aca="false">Revenue!Y16</f>
        <v>115415.288312806</v>
      </c>
    </row>
    <row r="7" customFormat="false" ht="15" hidden="false" customHeight="false" outlineLevel="0" collapsed="false">
      <c r="A7" s="3" t="s">
        <v>51</v>
      </c>
      <c r="B7" s="24" t="n">
        <f aca="false">-(Revenue!B6*(Assumptions!B28+Assumptions!B29))</f>
        <v>-0</v>
      </c>
      <c r="C7" s="24" t="n">
        <f aca="false">-(Revenue!C6*(Assumptions!B28+Assumptions!B29))</f>
        <v>-40</v>
      </c>
      <c r="D7" s="24" t="n">
        <f aca="false">-(Revenue!D6*(Assumptions!B28+Assumptions!B29))</f>
        <v>-78.4</v>
      </c>
      <c r="E7" s="24" t="n">
        <f aca="false">-(Revenue!E6*(Assumptions!B28+Assumptions!B29))</f>
        <v>-115.264</v>
      </c>
      <c r="F7" s="24" t="n">
        <f aca="false">-(Revenue!F6*(Assumptions!B28+Assumptions!B29))</f>
        <v>-190.65344</v>
      </c>
      <c r="G7" s="24" t="n">
        <f aca="false">-(Revenue!G6*(Assumptions!B28+Assumptions!B29))</f>
        <v>-263.0273024</v>
      </c>
      <c r="H7" s="24" t="n">
        <f aca="false">-(Revenue!H6*(Assumptions!B28+Assumptions!B29))</f>
        <v>-332.506210304</v>
      </c>
      <c r="I7" s="24" t="n">
        <f aca="false">-(Revenue!I6*(Assumptions!B28+Assumptions!B29))</f>
        <v>-439.20596189184</v>
      </c>
      <c r="J7" s="24" t="n">
        <f aca="false">-(Revenue!J6*(Assumptions!B28+Assumptions!B29))</f>
        <v>-541.637723416166</v>
      </c>
      <c r="K7" s="24" t="n">
        <f aca="false">-(Revenue!K6*(Assumptions!B28+Assumptions!B29))</f>
        <v>-639.97221447952</v>
      </c>
      <c r="L7" s="24" t="n">
        <f aca="false">-(Revenue!L6*(Assumptions!B28+Assumptions!B29))</f>
        <v>-774.373325900339</v>
      </c>
      <c r="M7" s="24" t="n">
        <f aca="false">-(Revenue!M6*(Assumptions!B28+Assumptions!B29))</f>
        <v>-903.398392864325</v>
      </c>
      <c r="N7" s="24" t="n">
        <f aca="false">-(Revenue!N6*(Assumptions!B28+Assumptions!B29))</f>
        <v>-1027.26245714975</v>
      </c>
      <c r="O7" s="24" t="n">
        <f aca="false">-(Revenue!O6*(Assumptions!B28+Assumptions!B29))</f>
        <v>-1186.17195886376</v>
      </c>
      <c r="P7" s="24" t="n">
        <f aca="false">-(Revenue!P6*(Assumptions!B28+Assumptions!B29))</f>
        <v>-1338.72508050921</v>
      </c>
      <c r="Q7" s="24" t="n">
        <f aca="false">-(Revenue!Q6*(Assumptions!B28+Assumptions!B29))</f>
        <v>-1485.17607728884</v>
      </c>
      <c r="R7" s="24" t="n">
        <f aca="false">-(Revenue!R6*(Assumptions!B28+Assumptions!B29))</f>
        <v>-1665.76903419729</v>
      </c>
      <c r="S7" s="24" t="n">
        <f aca="false">-(Revenue!S6*(Assumptions!B28+Assumptions!B29))</f>
        <v>-1839.1382728294</v>
      </c>
      <c r="T7" s="24" t="n">
        <f aca="false">-(Revenue!T6*(Assumptions!B28+Assumptions!B29))</f>
        <v>-2005.57274191622</v>
      </c>
      <c r="U7" s="24" t="n">
        <f aca="false">-(Revenue!U6*(Assumptions!B28+Assumptions!B29))</f>
        <v>-2205.34983223957</v>
      </c>
      <c r="V7" s="24" t="n">
        <f aca="false">-(Revenue!V6*(Assumptions!B28+Assumptions!B29))</f>
        <v>-2397.13583894999</v>
      </c>
      <c r="W7" s="24" t="n">
        <f aca="false">-(Revenue!W6*(Assumptions!B28+Assumptions!B29))</f>
        <v>-2581.25040539199</v>
      </c>
      <c r="X7" s="24" t="n">
        <f aca="false">-(Revenue!X6*(Assumptions!B28+Assumptions!B29))</f>
        <v>-2798.00038917631</v>
      </c>
      <c r="Y7" s="24" t="n">
        <f aca="false">-(Revenue!Y6*(Assumptions!B28+Assumptions!B29))</f>
        <v>-3006.08037360926</v>
      </c>
    </row>
    <row r="8" customFormat="false" ht="15" hidden="false" customHeight="false" outlineLevel="0" collapsed="false">
      <c r="A8" s="20" t="s">
        <v>125</v>
      </c>
      <c r="B8" s="21" t="n">
        <f aca="false">B5+B7</f>
        <v>0</v>
      </c>
      <c r="C8" s="21" t="n">
        <f aca="false">C5+C7</f>
        <v>850</v>
      </c>
      <c r="D8" s="21" t="n">
        <f aca="false">D5+D7</f>
        <v>1666</v>
      </c>
      <c r="E8" s="21" t="n">
        <f aca="false">E5+E7</f>
        <v>4559.36</v>
      </c>
      <c r="F8" s="21" t="n">
        <f aca="false">F5+F7</f>
        <v>6161.3856</v>
      </c>
      <c r="G8" s="21" t="n">
        <f aca="false">G5+G7</f>
        <v>7699.330176</v>
      </c>
      <c r="H8" s="21" t="n">
        <f aca="false">H5+H7</f>
        <v>11285.75696896</v>
      </c>
      <c r="I8" s="21" t="n">
        <f aca="false">I5+I7</f>
        <v>13553.1266902016</v>
      </c>
      <c r="J8" s="21" t="n">
        <f aca="false">J5+J7</f>
        <v>17839.8016225935</v>
      </c>
      <c r="K8" s="21" t="n">
        <f aca="false">K5+K7</f>
        <v>19929.4095576898</v>
      </c>
      <c r="L8" s="21" t="n">
        <f aca="false">L5+L7</f>
        <v>24895.4331753822</v>
      </c>
      <c r="M8" s="21" t="n">
        <f aca="false">M5+M7</f>
        <v>29747.2158483669</v>
      </c>
      <c r="N8" s="21" t="n">
        <f aca="false">N5+N7</f>
        <v>38709.3272144322</v>
      </c>
      <c r="O8" s="21" t="n">
        <f aca="false">O5+O7</f>
        <v>44196.1541258549</v>
      </c>
      <c r="P8" s="21" t="n">
        <f aca="false">P5+P7</f>
        <v>49547.9079608208</v>
      </c>
      <c r="Q8" s="21" t="n">
        <f aca="false">Q5+Q7</f>
        <v>54769.9916423879</v>
      </c>
      <c r="R8" s="21" t="n">
        <f aca="false">R5+R7</f>
        <v>60717.5919766924</v>
      </c>
      <c r="S8" s="21" t="n">
        <f aca="false">S5+S7</f>
        <v>68621.6882976247</v>
      </c>
      <c r="T8" s="21" t="n">
        <f aca="false">T5+T7</f>
        <v>74268.4207657197</v>
      </c>
      <c r="U8" s="21" t="n">
        <f aca="false">U5+U7</f>
        <v>82733.6839350909</v>
      </c>
      <c r="V8" s="21" t="n">
        <f aca="false">V5+V7</f>
        <v>88919.1365776873</v>
      </c>
      <c r="W8" s="21" t="n">
        <f aca="false">W5+W7</f>
        <v>94941.5711145798</v>
      </c>
      <c r="X8" s="21" t="n">
        <f aca="false">X5+X7</f>
        <v>103767.508269997</v>
      </c>
      <c r="Y8" s="21" t="n">
        <f aca="false">Y5+Y7</f>
        <v>112409.207939197</v>
      </c>
    </row>
    <row r="9" customFormat="false" ht="15" hidden="false" customHeight="false" outlineLevel="0" collapsed="false">
      <c r="A9" s="9" t="s">
        <v>126</v>
      </c>
      <c r="B9" s="26" t="n">
        <f aca="false">IFERROR(B8/B5,0)</f>
        <v>0</v>
      </c>
      <c r="C9" s="26" t="n">
        <f aca="false">IFERROR(C8/C5,0)</f>
        <v>0.955056179775281</v>
      </c>
      <c r="D9" s="26" t="n">
        <f aca="false">IFERROR(D8/D5,0)</f>
        <v>0.955056179775281</v>
      </c>
      <c r="E9" s="26" t="n">
        <f aca="false">IFERROR(E8/E5,0)</f>
        <v>0.975342615791131</v>
      </c>
      <c r="F9" s="26" t="n">
        <f aca="false">IFERROR(F8/F5,0)</f>
        <v>0.969985474144693</v>
      </c>
      <c r="G9" s="26" t="n">
        <f aca="false">IFERROR(G8/G5,0)</f>
        <v>0.96696615253541</v>
      </c>
      <c r="H9" s="26" t="n">
        <f aca="false">IFERROR(H8/H5,0)</f>
        <v>0.971380730047719</v>
      </c>
      <c r="I9" s="26" t="n">
        <f aca="false">IFERROR(I8/I5,0)</f>
        <v>0.968610954812733</v>
      </c>
      <c r="J9" s="26" t="n">
        <f aca="false">IFERROR(J8/J5,0)</f>
        <v>0.970533443370758</v>
      </c>
      <c r="K9" s="26" t="n">
        <f aca="false">IFERROR(K8/K5,0)</f>
        <v>0.968887143932278</v>
      </c>
      <c r="L9" s="26" t="n">
        <f aca="false">IFERROR(L8/L5,0)</f>
        <v>0.969833301008263</v>
      </c>
      <c r="M9" s="26" t="n">
        <f aca="false">IFERROR(M8/M5,0)</f>
        <v>0.970525928591373</v>
      </c>
      <c r="N9" s="26" t="n">
        <f aca="false">IFERROR(N8/N5,0)</f>
        <v>0.974148197778422</v>
      </c>
      <c r="O9" s="26" t="n">
        <f aca="false">IFERROR(O8/O5,0)</f>
        <v>0.973862689262568</v>
      </c>
      <c r="P9" s="26" t="n">
        <f aca="false">IFERROR(P8/P5,0)</f>
        <v>0.973692009070007</v>
      </c>
      <c r="Q9" s="26" t="n">
        <f aca="false">IFERROR(Q8/Q5,0)</f>
        <v>0.973599295184941</v>
      </c>
      <c r="R9" s="26" t="n">
        <f aca="false">IFERROR(R8/R5,0)</f>
        <v>0.973297863289115</v>
      </c>
      <c r="S9" s="26" t="n">
        <f aca="false">IFERROR(S8/S5,0)</f>
        <v>0.973898428923617</v>
      </c>
      <c r="T9" s="26" t="n">
        <f aca="false">IFERROR(T8/T5,0)</f>
        <v>0.973705680669317</v>
      </c>
      <c r="U9" s="26" t="n">
        <f aca="false">IFERROR(U8/U5,0)</f>
        <v>0.97403608524344</v>
      </c>
      <c r="V9" s="26" t="n">
        <f aca="false">IFERROR(V8/V5,0)</f>
        <v>0.97374908353669</v>
      </c>
      <c r="W9" s="26" t="n">
        <f aca="false">IFERROR(W8/W5,0)</f>
        <v>0.973531832189009</v>
      </c>
      <c r="X9" s="26" t="n">
        <f aca="false">IFERROR(X8/X5,0)</f>
        <v>0.973743846162034</v>
      </c>
      <c r="Y9" s="26" t="n">
        <f aca="false">IFERROR(Y8/Y5,0)</f>
        <v>0.973954227229741</v>
      </c>
    </row>
    <row r="11" customFormat="false" ht="15" hidden="false" customHeight="false" outlineLevel="0" collapsed="false">
      <c r="A11" s="5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customFormat="false" ht="15" hidden="false" customHeight="false" outlineLevel="0" collapsed="false">
      <c r="A12" s="3" t="s">
        <v>127</v>
      </c>
      <c r="B12" s="24" t="n">
        <f aca="false">-Payroll!B10</f>
        <v>-5850</v>
      </c>
      <c r="C12" s="24" t="n">
        <f aca="false">-Payroll!C10</f>
        <v>-5850</v>
      </c>
      <c r="D12" s="24" t="n">
        <f aca="false">-Payroll!D10</f>
        <v>-5850</v>
      </c>
      <c r="E12" s="24" t="n">
        <f aca="false">-Payroll!E10</f>
        <v>-5850</v>
      </c>
      <c r="F12" s="24" t="n">
        <f aca="false">-Payroll!F10</f>
        <v>-13650</v>
      </c>
      <c r="G12" s="24" t="n">
        <f aca="false">-Payroll!G10</f>
        <v>-13650</v>
      </c>
      <c r="H12" s="24" t="n">
        <f aca="false">-Payroll!H10</f>
        <v>-13650</v>
      </c>
      <c r="I12" s="24" t="n">
        <f aca="false">-Payroll!I10</f>
        <v>-13650</v>
      </c>
      <c r="J12" s="24" t="n">
        <f aca="false">-Payroll!J10</f>
        <v>-13650</v>
      </c>
      <c r="K12" s="24" t="n">
        <f aca="false">-Payroll!K10</f>
        <v>-13650</v>
      </c>
      <c r="L12" s="24" t="n">
        <f aca="false">-Payroll!L10</f>
        <v>-13650</v>
      </c>
      <c r="M12" s="24" t="n">
        <f aca="false">-Payroll!M10</f>
        <v>-13650</v>
      </c>
      <c r="N12" s="24" t="n">
        <f aca="false">-Payroll!N10</f>
        <v>-20800</v>
      </c>
      <c r="O12" s="24" t="n">
        <f aca="false">-Payroll!O10</f>
        <v>-20800</v>
      </c>
      <c r="P12" s="24" t="n">
        <f aca="false">-Payroll!P10</f>
        <v>-29250</v>
      </c>
      <c r="Q12" s="24" t="n">
        <f aca="false">-Payroll!Q10</f>
        <v>-29250</v>
      </c>
      <c r="R12" s="24" t="n">
        <f aca="false">-Payroll!R10</f>
        <v>-29250</v>
      </c>
      <c r="S12" s="24" t="n">
        <f aca="false">-Payroll!S10</f>
        <v>-29250</v>
      </c>
      <c r="T12" s="24" t="n">
        <f aca="false">-Payroll!T10</f>
        <v>-29250</v>
      </c>
      <c r="U12" s="24" t="n">
        <f aca="false">-Payroll!U10</f>
        <v>-29250</v>
      </c>
      <c r="V12" s="24" t="n">
        <f aca="false">-Payroll!V10</f>
        <v>-29250</v>
      </c>
      <c r="W12" s="24" t="n">
        <f aca="false">-Payroll!W10</f>
        <v>-29250</v>
      </c>
      <c r="X12" s="24" t="n">
        <f aca="false">-Payroll!X10</f>
        <v>-29250</v>
      </c>
      <c r="Y12" s="24" t="n">
        <f aca="false">-Payroll!Y10</f>
        <v>-29250</v>
      </c>
    </row>
    <row r="13" customFormat="false" ht="15" hidden="false" customHeight="false" outlineLevel="0" collapsed="false">
      <c r="A13" s="3" t="s">
        <v>128</v>
      </c>
      <c r="B13" s="24" t="n">
        <f aca="false">-Assumptions!B39</f>
        <v>-350</v>
      </c>
      <c r="C13" s="24" t="n">
        <f aca="false">-Assumptions!B39</f>
        <v>-350</v>
      </c>
      <c r="D13" s="24" t="n">
        <f aca="false">-Assumptions!B39</f>
        <v>-350</v>
      </c>
      <c r="E13" s="24" t="n">
        <f aca="false">-Assumptions!B39</f>
        <v>-350</v>
      </c>
      <c r="F13" s="24" t="n">
        <f aca="false">-Assumptions!B39</f>
        <v>-350</v>
      </c>
      <c r="G13" s="24" t="n">
        <f aca="false">-Assumptions!B39</f>
        <v>-350</v>
      </c>
      <c r="H13" s="24" t="n">
        <f aca="false">-Assumptions!B39</f>
        <v>-350</v>
      </c>
      <c r="I13" s="24" t="n">
        <f aca="false">-Assumptions!B39</f>
        <v>-350</v>
      </c>
      <c r="J13" s="24" t="n">
        <f aca="false">-Assumptions!B39</f>
        <v>-350</v>
      </c>
      <c r="K13" s="24" t="n">
        <f aca="false">-Assumptions!B39</f>
        <v>-350</v>
      </c>
      <c r="L13" s="24" t="n">
        <f aca="false">-Assumptions!B39</f>
        <v>-350</v>
      </c>
      <c r="M13" s="24" t="n">
        <f aca="false">-Assumptions!B39</f>
        <v>-350</v>
      </c>
      <c r="N13" s="24" t="n">
        <f aca="false">-Assumptions!B39</f>
        <v>-350</v>
      </c>
      <c r="O13" s="24" t="n">
        <f aca="false">-Assumptions!B39</f>
        <v>-350</v>
      </c>
      <c r="P13" s="24" t="n">
        <f aca="false">-Assumptions!B39</f>
        <v>-350</v>
      </c>
      <c r="Q13" s="24" t="n">
        <f aca="false">-Assumptions!B39</f>
        <v>-350</v>
      </c>
      <c r="R13" s="24" t="n">
        <f aca="false">-Assumptions!B39</f>
        <v>-350</v>
      </c>
      <c r="S13" s="24" t="n">
        <f aca="false">-Assumptions!B39</f>
        <v>-350</v>
      </c>
      <c r="T13" s="24" t="n">
        <f aca="false">-Assumptions!B39</f>
        <v>-350</v>
      </c>
      <c r="U13" s="24" t="n">
        <f aca="false">-Assumptions!B39</f>
        <v>-350</v>
      </c>
      <c r="V13" s="24" t="n">
        <f aca="false">-Assumptions!B39</f>
        <v>-350</v>
      </c>
      <c r="W13" s="24" t="n">
        <f aca="false">-Assumptions!B39</f>
        <v>-350</v>
      </c>
      <c r="X13" s="24" t="n">
        <f aca="false">-Assumptions!B39</f>
        <v>-350</v>
      </c>
      <c r="Y13" s="24" t="n">
        <f aca="false">-Assumptions!B39</f>
        <v>-350</v>
      </c>
    </row>
    <row r="14" customFormat="false" ht="15" hidden="false" customHeight="false" outlineLevel="0" collapsed="false">
      <c r="A14" s="3" t="s">
        <v>129</v>
      </c>
      <c r="B14" s="24" t="n">
        <f aca="false">-Assumptions!B40</f>
        <v>-600</v>
      </c>
      <c r="C14" s="24" t="n">
        <f aca="false">-Assumptions!B40</f>
        <v>-600</v>
      </c>
      <c r="D14" s="24" t="n">
        <f aca="false">-Assumptions!B40</f>
        <v>-600</v>
      </c>
      <c r="E14" s="24" t="n">
        <f aca="false">-Assumptions!B40</f>
        <v>-600</v>
      </c>
      <c r="F14" s="24" t="n">
        <f aca="false">-Assumptions!B40</f>
        <v>-600</v>
      </c>
      <c r="G14" s="24" t="n">
        <f aca="false">-Assumptions!B40</f>
        <v>-600</v>
      </c>
      <c r="H14" s="24" t="n">
        <f aca="false">-Assumptions!B40</f>
        <v>-600</v>
      </c>
      <c r="I14" s="24" t="n">
        <f aca="false">-Assumptions!B40</f>
        <v>-600</v>
      </c>
      <c r="J14" s="24" t="n">
        <f aca="false">-Assumptions!B40</f>
        <v>-600</v>
      </c>
      <c r="K14" s="24" t="n">
        <f aca="false">-Assumptions!B40</f>
        <v>-600</v>
      </c>
      <c r="L14" s="24" t="n">
        <f aca="false">-Assumptions!B40</f>
        <v>-600</v>
      </c>
      <c r="M14" s="24" t="n">
        <f aca="false">-Assumptions!B40</f>
        <v>-600</v>
      </c>
      <c r="N14" s="24" t="n">
        <f aca="false">-Assumptions!B40</f>
        <v>-600</v>
      </c>
      <c r="O14" s="24" t="n">
        <f aca="false">-Assumptions!B40</f>
        <v>-600</v>
      </c>
      <c r="P14" s="24" t="n">
        <f aca="false">-Assumptions!B40</f>
        <v>-600</v>
      </c>
      <c r="Q14" s="24" t="n">
        <f aca="false">-Assumptions!B40</f>
        <v>-600</v>
      </c>
      <c r="R14" s="24" t="n">
        <f aca="false">-Assumptions!B40</f>
        <v>-600</v>
      </c>
      <c r="S14" s="24" t="n">
        <f aca="false">-Assumptions!B40</f>
        <v>-600</v>
      </c>
      <c r="T14" s="24" t="n">
        <f aca="false">-Assumptions!B40</f>
        <v>-600</v>
      </c>
      <c r="U14" s="24" t="n">
        <f aca="false">-Assumptions!B40</f>
        <v>-600</v>
      </c>
      <c r="V14" s="24" t="n">
        <f aca="false">-Assumptions!B40</f>
        <v>-600</v>
      </c>
      <c r="W14" s="24" t="n">
        <f aca="false">-Assumptions!B40</f>
        <v>-600</v>
      </c>
      <c r="X14" s="24" t="n">
        <f aca="false">-Assumptions!B40</f>
        <v>-600</v>
      </c>
      <c r="Y14" s="24" t="n">
        <f aca="false">-Assumptions!B40</f>
        <v>-600</v>
      </c>
    </row>
    <row r="15" customFormat="false" ht="15" hidden="false" customHeight="false" outlineLevel="0" collapsed="false">
      <c r="A15" s="3" t="s">
        <v>130</v>
      </c>
      <c r="B15" s="24" t="n">
        <f aca="false">-Assumptions!B41</f>
        <v>-500</v>
      </c>
      <c r="C15" s="24" t="n">
        <f aca="false">-Assumptions!B41</f>
        <v>-500</v>
      </c>
      <c r="D15" s="24" t="n">
        <f aca="false">-Assumptions!B41</f>
        <v>-500</v>
      </c>
      <c r="E15" s="24" t="n">
        <f aca="false">-Assumptions!B41</f>
        <v>-500</v>
      </c>
      <c r="F15" s="24" t="n">
        <f aca="false">-Assumptions!B41</f>
        <v>-500</v>
      </c>
      <c r="G15" s="24" t="n">
        <f aca="false">-Assumptions!B41</f>
        <v>-500</v>
      </c>
      <c r="H15" s="24" t="n">
        <f aca="false">-Assumptions!B42</f>
        <v>-1500</v>
      </c>
      <c r="I15" s="24" t="n">
        <f aca="false">-Assumptions!B42</f>
        <v>-1500</v>
      </c>
      <c r="J15" s="24" t="n">
        <f aca="false">-Assumptions!B42</f>
        <v>-1500</v>
      </c>
      <c r="K15" s="24" t="n">
        <f aca="false">-Assumptions!B42</f>
        <v>-1500</v>
      </c>
      <c r="L15" s="24" t="n">
        <f aca="false">-Assumptions!B42</f>
        <v>-1500</v>
      </c>
      <c r="M15" s="24" t="n">
        <f aca="false">-Assumptions!B42</f>
        <v>-1500</v>
      </c>
      <c r="N15" s="24" t="n">
        <f aca="false">-Assumptions!B43</f>
        <v>-3000</v>
      </c>
      <c r="O15" s="24" t="n">
        <f aca="false">-Assumptions!B43</f>
        <v>-3000</v>
      </c>
      <c r="P15" s="24" t="n">
        <f aca="false">-Assumptions!B43</f>
        <v>-3000</v>
      </c>
      <c r="Q15" s="24" t="n">
        <f aca="false">-Assumptions!B43</f>
        <v>-3000</v>
      </c>
      <c r="R15" s="24" t="n">
        <f aca="false">-Assumptions!B43</f>
        <v>-3000</v>
      </c>
      <c r="S15" s="24" t="n">
        <f aca="false">-Assumptions!B43</f>
        <v>-3000</v>
      </c>
      <c r="T15" s="24" t="n">
        <f aca="false">-Assumptions!B43</f>
        <v>-3000</v>
      </c>
      <c r="U15" s="24" t="n">
        <f aca="false">-Assumptions!B43</f>
        <v>-3000</v>
      </c>
      <c r="V15" s="24" t="n">
        <f aca="false">-Assumptions!B43</f>
        <v>-3000</v>
      </c>
      <c r="W15" s="24" t="n">
        <f aca="false">-Assumptions!B43</f>
        <v>-3000</v>
      </c>
      <c r="X15" s="24" t="n">
        <f aca="false">-Assumptions!B43</f>
        <v>-3000</v>
      </c>
      <c r="Y15" s="24" t="n">
        <f aca="false">-Assumptions!B43</f>
        <v>-3000</v>
      </c>
    </row>
    <row r="16" customFormat="false" ht="15" hidden="false" customHeight="false" outlineLevel="0" collapsed="false">
      <c r="A16" s="3" t="s">
        <v>131</v>
      </c>
      <c r="B16" s="24" t="n">
        <f aca="false">-Assumptions!B44</f>
        <v>-350</v>
      </c>
      <c r="C16" s="24" t="n">
        <f aca="false">-Assumptions!B44</f>
        <v>-350</v>
      </c>
      <c r="D16" s="24" t="n">
        <f aca="false">-Assumptions!B44</f>
        <v>-350</v>
      </c>
      <c r="E16" s="24" t="n">
        <f aca="false">-Assumptions!B44</f>
        <v>-350</v>
      </c>
      <c r="F16" s="24" t="n">
        <f aca="false">-Assumptions!B44</f>
        <v>-350</v>
      </c>
      <c r="G16" s="24" t="n">
        <f aca="false">-Assumptions!B44</f>
        <v>-350</v>
      </c>
      <c r="H16" s="24" t="n">
        <f aca="false">-Assumptions!B44</f>
        <v>-350</v>
      </c>
      <c r="I16" s="24" t="n">
        <f aca="false">-Assumptions!B44</f>
        <v>-350</v>
      </c>
      <c r="J16" s="24" t="n">
        <f aca="false">-Assumptions!B44</f>
        <v>-350</v>
      </c>
      <c r="K16" s="24" t="n">
        <f aca="false">-Assumptions!B44</f>
        <v>-350</v>
      </c>
      <c r="L16" s="24" t="n">
        <f aca="false">-Assumptions!B44</f>
        <v>-350</v>
      </c>
      <c r="M16" s="24" t="n">
        <f aca="false">-Assumptions!B44</f>
        <v>-350</v>
      </c>
      <c r="N16" s="24" t="n">
        <f aca="false">-Assumptions!B44</f>
        <v>-350</v>
      </c>
      <c r="O16" s="24" t="n">
        <f aca="false">-Assumptions!B44</f>
        <v>-350</v>
      </c>
      <c r="P16" s="24" t="n">
        <f aca="false">-Assumptions!B44</f>
        <v>-350</v>
      </c>
      <c r="Q16" s="24" t="n">
        <f aca="false">-Assumptions!B44</f>
        <v>-350</v>
      </c>
      <c r="R16" s="24" t="n">
        <f aca="false">-Assumptions!B44</f>
        <v>-350</v>
      </c>
      <c r="S16" s="24" t="n">
        <f aca="false">-Assumptions!B44</f>
        <v>-350</v>
      </c>
      <c r="T16" s="24" t="n">
        <f aca="false">-Assumptions!B44</f>
        <v>-350</v>
      </c>
      <c r="U16" s="24" t="n">
        <f aca="false">-Assumptions!B44</f>
        <v>-350</v>
      </c>
      <c r="V16" s="24" t="n">
        <f aca="false">-Assumptions!B44</f>
        <v>-350</v>
      </c>
      <c r="W16" s="24" t="n">
        <f aca="false">-Assumptions!B44</f>
        <v>-350</v>
      </c>
      <c r="X16" s="24" t="n">
        <f aca="false">-Assumptions!B44</f>
        <v>-350</v>
      </c>
      <c r="Y16" s="24" t="n">
        <f aca="false">-Assumptions!B44</f>
        <v>-350</v>
      </c>
    </row>
    <row r="17" customFormat="false" ht="15" hidden="false" customHeight="false" outlineLevel="0" collapsed="false">
      <c r="A17" s="3" t="s">
        <v>132</v>
      </c>
      <c r="B17" s="24" t="n">
        <f aca="false">-Assumptions!B45</f>
        <v>-250</v>
      </c>
      <c r="C17" s="24" t="n">
        <f aca="false">-Assumptions!B45</f>
        <v>-250</v>
      </c>
      <c r="D17" s="24" t="n">
        <f aca="false">-Assumptions!B45</f>
        <v>-250</v>
      </c>
      <c r="E17" s="24" t="n">
        <f aca="false">-Assumptions!B45</f>
        <v>-250</v>
      </c>
      <c r="F17" s="24" t="n">
        <f aca="false">-Assumptions!B45</f>
        <v>-250</v>
      </c>
      <c r="G17" s="24" t="n">
        <f aca="false">-Assumptions!B45</f>
        <v>-250</v>
      </c>
      <c r="H17" s="24" t="n">
        <f aca="false">-Assumptions!B45</f>
        <v>-250</v>
      </c>
      <c r="I17" s="24" t="n">
        <f aca="false">-Assumptions!B45</f>
        <v>-250</v>
      </c>
      <c r="J17" s="24" t="n">
        <f aca="false">-Assumptions!B45</f>
        <v>-250</v>
      </c>
      <c r="K17" s="24" t="n">
        <f aca="false">-Assumptions!B45</f>
        <v>-250</v>
      </c>
      <c r="L17" s="24" t="n">
        <f aca="false">-Assumptions!B45</f>
        <v>-250</v>
      </c>
      <c r="M17" s="24" t="n">
        <f aca="false">-Assumptions!B45</f>
        <v>-250</v>
      </c>
      <c r="N17" s="24" t="n">
        <f aca="false">-Assumptions!B45</f>
        <v>-250</v>
      </c>
      <c r="O17" s="24" t="n">
        <f aca="false">-Assumptions!B45</f>
        <v>-250</v>
      </c>
      <c r="P17" s="24" t="n">
        <f aca="false">-Assumptions!B45</f>
        <v>-250</v>
      </c>
      <c r="Q17" s="24" t="n">
        <f aca="false">-Assumptions!B45</f>
        <v>-250</v>
      </c>
      <c r="R17" s="24" t="n">
        <f aca="false">-Assumptions!B45</f>
        <v>-250</v>
      </c>
      <c r="S17" s="24" t="n">
        <f aca="false">-Assumptions!B45</f>
        <v>-250</v>
      </c>
      <c r="T17" s="24" t="n">
        <f aca="false">-Assumptions!B45</f>
        <v>-250</v>
      </c>
      <c r="U17" s="24" t="n">
        <f aca="false">-Assumptions!B45</f>
        <v>-250</v>
      </c>
      <c r="V17" s="24" t="n">
        <f aca="false">-Assumptions!B45</f>
        <v>-250</v>
      </c>
      <c r="W17" s="24" t="n">
        <f aca="false">-Assumptions!B45</f>
        <v>-250</v>
      </c>
      <c r="X17" s="24" t="n">
        <f aca="false">-Assumptions!B45</f>
        <v>-250</v>
      </c>
      <c r="Y17" s="24" t="n">
        <f aca="false">-Assumptions!B45</f>
        <v>-250</v>
      </c>
    </row>
    <row r="18" customFormat="false" ht="15" hidden="false" customHeight="false" outlineLevel="0" collapsed="false">
      <c r="A18" s="20" t="s">
        <v>133</v>
      </c>
      <c r="B18" s="21" t="n">
        <f aca="false">SUM(B12:B17)</f>
        <v>-7900</v>
      </c>
      <c r="C18" s="21" t="n">
        <f aca="false">SUM(C12:C17)</f>
        <v>-7900</v>
      </c>
      <c r="D18" s="21" t="n">
        <f aca="false">SUM(D12:D17)</f>
        <v>-7900</v>
      </c>
      <c r="E18" s="21" t="n">
        <f aca="false">SUM(E12:E17)</f>
        <v>-7900</v>
      </c>
      <c r="F18" s="21" t="n">
        <f aca="false">SUM(F12:F17)</f>
        <v>-15700</v>
      </c>
      <c r="G18" s="21" t="n">
        <f aca="false">SUM(G12:G17)</f>
        <v>-15700</v>
      </c>
      <c r="H18" s="21" t="n">
        <f aca="false">SUM(H12:H17)</f>
        <v>-16700</v>
      </c>
      <c r="I18" s="21" t="n">
        <f aca="false">SUM(I12:I17)</f>
        <v>-16700</v>
      </c>
      <c r="J18" s="21" t="n">
        <f aca="false">SUM(J12:J17)</f>
        <v>-16700</v>
      </c>
      <c r="K18" s="21" t="n">
        <f aca="false">SUM(K12:K17)</f>
        <v>-16700</v>
      </c>
      <c r="L18" s="21" t="n">
        <f aca="false">SUM(L12:L17)</f>
        <v>-16700</v>
      </c>
      <c r="M18" s="21" t="n">
        <f aca="false">SUM(M12:M17)</f>
        <v>-16700</v>
      </c>
      <c r="N18" s="21" t="n">
        <f aca="false">SUM(N12:N17)</f>
        <v>-25350</v>
      </c>
      <c r="O18" s="21" t="n">
        <f aca="false">SUM(O12:O17)</f>
        <v>-25350</v>
      </c>
      <c r="P18" s="21" t="n">
        <f aca="false">SUM(P12:P17)</f>
        <v>-33800</v>
      </c>
      <c r="Q18" s="21" t="n">
        <f aca="false">SUM(Q12:Q17)</f>
        <v>-33800</v>
      </c>
      <c r="R18" s="21" t="n">
        <f aca="false">SUM(R12:R17)</f>
        <v>-33800</v>
      </c>
      <c r="S18" s="21" t="n">
        <f aca="false">SUM(S12:S17)</f>
        <v>-33800</v>
      </c>
      <c r="T18" s="21" t="n">
        <f aca="false">SUM(T12:T17)</f>
        <v>-33800</v>
      </c>
      <c r="U18" s="21" t="n">
        <f aca="false">SUM(U12:U17)</f>
        <v>-33800</v>
      </c>
      <c r="V18" s="21" t="n">
        <f aca="false">SUM(V12:V17)</f>
        <v>-33800</v>
      </c>
      <c r="W18" s="21" t="n">
        <f aca="false">SUM(W12:W17)</f>
        <v>-33800</v>
      </c>
      <c r="X18" s="21" t="n">
        <f aca="false">SUM(X12:X17)</f>
        <v>-33800</v>
      </c>
      <c r="Y18" s="21" t="n">
        <f aca="false">SUM(Y12:Y17)</f>
        <v>-33800</v>
      </c>
    </row>
    <row r="20" customFormat="false" ht="15" hidden="false" customHeight="false" outlineLevel="0" collapsed="false">
      <c r="A20" s="5" t="s">
        <v>134</v>
      </c>
      <c r="B20" s="27" t="n">
        <f aca="false">B8+B18</f>
        <v>-7900</v>
      </c>
      <c r="C20" s="27" t="n">
        <f aca="false">C8+C18</f>
        <v>-7050</v>
      </c>
      <c r="D20" s="27" t="n">
        <f aca="false">D8+D18</f>
        <v>-6234</v>
      </c>
      <c r="E20" s="27" t="n">
        <f aca="false">E8+E18</f>
        <v>-3340.64</v>
      </c>
      <c r="F20" s="27" t="n">
        <f aca="false">F8+F18</f>
        <v>-9538.6144</v>
      </c>
      <c r="G20" s="27" t="n">
        <f aca="false">G8+G18</f>
        <v>-8000.669824</v>
      </c>
      <c r="H20" s="27" t="n">
        <f aca="false">H8+H18</f>
        <v>-5414.24303104</v>
      </c>
      <c r="I20" s="27" t="n">
        <f aca="false">I8+I18</f>
        <v>-3146.8733097984</v>
      </c>
      <c r="J20" s="27" t="n">
        <f aca="false">J8+J18</f>
        <v>1139.80162259354</v>
      </c>
      <c r="K20" s="27" t="n">
        <f aca="false">K8+K18</f>
        <v>3229.40955768979</v>
      </c>
      <c r="L20" s="27" t="n">
        <f aca="false">L8+L18</f>
        <v>8195.4331753822</v>
      </c>
      <c r="M20" s="27" t="n">
        <f aca="false">M8+M18</f>
        <v>13047.2158483669</v>
      </c>
      <c r="N20" s="27" t="n">
        <f aca="false">N8+N18</f>
        <v>13359.3272144322</v>
      </c>
      <c r="O20" s="27" t="n">
        <f aca="false">O8+O18</f>
        <v>18846.1541258549</v>
      </c>
      <c r="P20" s="27" t="n">
        <f aca="false">P8+P18</f>
        <v>15747.9079608207</v>
      </c>
      <c r="Q20" s="27" t="n">
        <f aca="false">Q8+Q18</f>
        <v>20969.9916423879</v>
      </c>
      <c r="R20" s="27" t="n">
        <f aca="false">R8+R18</f>
        <v>26917.5919766924</v>
      </c>
      <c r="S20" s="27" t="n">
        <f aca="false">S8+S18</f>
        <v>34821.6882976247</v>
      </c>
      <c r="T20" s="27" t="n">
        <f aca="false">T8+T18</f>
        <v>40468.4207657197</v>
      </c>
      <c r="U20" s="27" t="n">
        <f aca="false">U8+U18</f>
        <v>48933.6839350909</v>
      </c>
      <c r="V20" s="27" t="n">
        <f aca="false">V8+V18</f>
        <v>55119.1365776873</v>
      </c>
      <c r="W20" s="27" t="n">
        <f aca="false">W8+W18</f>
        <v>61141.5711145798</v>
      </c>
      <c r="X20" s="27" t="n">
        <f aca="false">X8+X18</f>
        <v>69967.5082699966</v>
      </c>
      <c r="Y20" s="27" t="n">
        <f aca="false">Y8+Y18</f>
        <v>78609.2079391967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5" min="2" style="0" width="10"/>
    <col collapsed="false" customWidth="true" hidden="false" outlineLevel="0" max="27" min="27" style="0" width="26"/>
    <col collapsed="false" customWidth="true" hidden="false" outlineLevel="0" max="28" min="28" style="0" width="14"/>
  </cols>
  <sheetData>
    <row r="1" customFormat="false" ht="19.7" hidden="false" customHeight="false" outlineLevel="0" collapsed="false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5" hidden="false" customHeight="false" outlineLevel="0" collapsed="false">
      <c r="A3" s="3" t="s">
        <v>123</v>
      </c>
      <c r="B3" s="14" t="s">
        <v>81</v>
      </c>
      <c r="C3" s="14" t="s">
        <v>82</v>
      </c>
      <c r="D3" s="14" t="s">
        <v>83</v>
      </c>
      <c r="E3" s="14" t="s">
        <v>84</v>
      </c>
      <c r="F3" s="14" t="s">
        <v>85</v>
      </c>
      <c r="G3" s="14" t="s">
        <v>86</v>
      </c>
      <c r="H3" s="14" t="s">
        <v>87</v>
      </c>
      <c r="I3" s="14" t="s">
        <v>88</v>
      </c>
      <c r="J3" s="14" t="s">
        <v>89</v>
      </c>
      <c r="K3" s="14" t="s">
        <v>90</v>
      </c>
      <c r="L3" s="14" t="s">
        <v>91</v>
      </c>
      <c r="M3" s="14" t="s">
        <v>92</v>
      </c>
      <c r="N3" s="14" t="s">
        <v>93</v>
      </c>
      <c r="O3" s="14" t="s">
        <v>94</v>
      </c>
      <c r="P3" s="14" t="s">
        <v>95</v>
      </c>
      <c r="Q3" s="14" t="s">
        <v>96</v>
      </c>
      <c r="R3" s="14" t="s">
        <v>97</v>
      </c>
      <c r="S3" s="14" t="s">
        <v>98</v>
      </c>
      <c r="T3" s="14" t="s">
        <v>99</v>
      </c>
      <c r="U3" s="14" t="s">
        <v>100</v>
      </c>
      <c r="V3" s="14" t="s">
        <v>101</v>
      </c>
      <c r="W3" s="14" t="s">
        <v>102</v>
      </c>
      <c r="X3" s="14" t="s">
        <v>103</v>
      </c>
      <c r="Y3" s="14" t="s">
        <v>104</v>
      </c>
      <c r="AA3" s="28" t="s">
        <v>136</v>
      </c>
    </row>
    <row r="5" customFormat="false" ht="15" hidden="false" customHeight="false" outlineLevel="0" collapsed="false">
      <c r="A5" s="3" t="s">
        <v>134</v>
      </c>
      <c r="B5" s="24" t="n">
        <f aca="false">'P&amp;L'!B20</f>
        <v>-7900</v>
      </c>
      <c r="C5" s="24" t="n">
        <f aca="false">'P&amp;L'!C20</f>
        <v>-7050</v>
      </c>
      <c r="D5" s="24" t="n">
        <f aca="false">'P&amp;L'!D20</f>
        <v>-6234</v>
      </c>
      <c r="E5" s="24" t="n">
        <f aca="false">'P&amp;L'!E20</f>
        <v>-3340.64</v>
      </c>
      <c r="F5" s="24" t="n">
        <f aca="false">'P&amp;L'!F20</f>
        <v>-9538.6144</v>
      </c>
      <c r="G5" s="24" t="n">
        <f aca="false">'P&amp;L'!G20</f>
        <v>-8000.669824</v>
      </c>
      <c r="H5" s="24" t="n">
        <f aca="false">'P&amp;L'!H20</f>
        <v>-5414.24303104</v>
      </c>
      <c r="I5" s="24" t="n">
        <f aca="false">'P&amp;L'!I20</f>
        <v>-3146.8733097984</v>
      </c>
      <c r="J5" s="24" t="n">
        <f aca="false">'P&amp;L'!J20</f>
        <v>1139.80162259354</v>
      </c>
      <c r="K5" s="24" t="n">
        <f aca="false">'P&amp;L'!K20</f>
        <v>3229.40955768979</v>
      </c>
      <c r="L5" s="24" t="n">
        <f aca="false">'P&amp;L'!L20</f>
        <v>8195.4331753822</v>
      </c>
      <c r="M5" s="24" t="n">
        <f aca="false">'P&amp;L'!M20</f>
        <v>13047.2158483669</v>
      </c>
      <c r="N5" s="24" t="n">
        <f aca="false">'P&amp;L'!N20</f>
        <v>13359.3272144322</v>
      </c>
      <c r="O5" s="24" t="n">
        <f aca="false">'P&amp;L'!O20</f>
        <v>18846.1541258549</v>
      </c>
      <c r="P5" s="24" t="n">
        <f aca="false">'P&amp;L'!P20</f>
        <v>15747.9079608207</v>
      </c>
      <c r="Q5" s="24" t="n">
        <f aca="false">'P&amp;L'!Q20</f>
        <v>20969.9916423879</v>
      </c>
      <c r="R5" s="24" t="n">
        <f aca="false">'P&amp;L'!R20</f>
        <v>26917.5919766924</v>
      </c>
      <c r="S5" s="24" t="n">
        <f aca="false">'P&amp;L'!S20</f>
        <v>34821.6882976247</v>
      </c>
      <c r="T5" s="24" t="n">
        <f aca="false">'P&amp;L'!T20</f>
        <v>40468.4207657197</v>
      </c>
      <c r="U5" s="24" t="n">
        <f aca="false">'P&amp;L'!U20</f>
        <v>48933.6839350909</v>
      </c>
      <c r="V5" s="24" t="n">
        <f aca="false">'P&amp;L'!V20</f>
        <v>55119.1365776873</v>
      </c>
      <c r="W5" s="24" t="n">
        <f aca="false">'P&amp;L'!W20</f>
        <v>61141.5711145798</v>
      </c>
      <c r="X5" s="24" t="n">
        <f aca="false">'P&amp;L'!X20</f>
        <v>69967.5082699966</v>
      </c>
      <c r="Y5" s="24" t="n">
        <f aca="false">'P&amp;L'!Y20</f>
        <v>78609.2079391967</v>
      </c>
      <c r="AA5" s="3" t="s">
        <v>137</v>
      </c>
      <c r="AB5" s="24" t="n">
        <f aca="false">SUM('P&amp;L'!B5:Y5)</f>
        <v>1039643.08049266</v>
      </c>
    </row>
    <row r="6" customFormat="false" ht="15" hidden="false" customHeight="false" outlineLevel="0" collapsed="false">
      <c r="A6" s="3" t="s">
        <v>138</v>
      </c>
      <c r="B6" s="24" t="n">
        <f aca="false">IF(1=Assumptions!B50,Assumptions!B49,0)</f>
        <v>500000</v>
      </c>
      <c r="C6" s="24" t="n">
        <f aca="false">IF(2=Assumptions!B50,Assumptions!B49,0)</f>
        <v>0</v>
      </c>
      <c r="D6" s="24" t="n">
        <f aca="false">IF(3=Assumptions!B50,Assumptions!B49,0)</f>
        <v>0</v>
      </c>
      <c r="E6" s="24" t="n">
        <f aca="false">IF(4=Assumptions!B50,Assumptions!B49,0)</f>
        <v>0</v>
      </c>
      <c r="F6" s="24" t="n">
        <f aca="false">IF(5=Assumptions!B50,Assumptions!B49,0)</f>
        <v>0</v>
      </c>
      <c r="G6" s="24" t="n">
        <f aca="false">IF(6=Assumptions!B50,Assumptions!B49,0)</f>
        <v>0</v>
      </c>
      <c r="H6" s="24" t="n">
        <f aca="false">IF(7=Assumptions!B50,Assumptions!B49,0)</f>
        <v>0</v>
      </c>
      <c r="I6" s="24" t="n">
        <f aca="false">IF(8=Assumptions!B50,Assumptions!B49,0)</f>
        <v>0</v>
      </c>
      <c r="J6" s="24" t="n">
        <f aca="false">IF(9=Assumptions!B50,Assumptions!B49,0)</f>
        <v>0</v>
      </c>
      <c r="K6" s="24" t="n">
        <f aca="false">IF(10=Assumptions!B50,Assumptions!B49,0)</f>
        <v>0</v>
      </c>
      <c r="L6" s="24" t="n">
        <f aca="false">IF(11=Assumptions!B50,Assumptions!B49,0)</f>
        <v>0</v>
      </c>
      <c r="M6" s="24" t="n">
        <f aca="false">IF(12=Assumptions!B50,Assumptions!B49,0)</f>
        <v>0</v>
      </c>
      <c r="N6" s="24" t="n">
        <f aca="false">IF(13=Assumptions!B50,Assumptions!B49,0)</f>
        <v>0</v>
      </c>
      <c r="O6" s="24" t="n">
        <f aca="false">IF(14=Assumptions!B50,Assumptions!B49,0)</f>
        <v>0</v>
      </c>
      <c r="P6" s="24" t="n">
        <f aca="false">IF(15=Assumptions!B50,Assumptions!B49,0)</f>
        <v>0</v>
      </c>
      <c r="Q6" s="24" t="n">
        <f aca="false">IF(16=Assumptions!B50,Assumptions!B49,0)</f>
        <v>0</v>
      </c>
      <c r="R6" s="24" t="n">
        <f aca="false">IF(17=Assumptions!B50,Assumptions!B49,0)</f>
        <v>0</v>
      </c>
      <c r="S6" s="24" t="n">
        <f aca="false">IF(18=Assumptions!B50,Assumptions!B49,0)</f>
        <v>0</v>
      </c>
      <c r="T6" s="24" t="n">
        <f aca="false">IF(19=Assumptions!B50,Assumptions!B49,0)</f>
        <v>0</v>
      </c>
      <c r="U6" s="24" t="n">
        <f aca="false">IF(20=Assumptions!B50,Assumptions!B49,0)</f>
        <v>0</v>
      </c>
      <c r="V6" s="24" t="n">
        <f aca="false">IF(21=Assumptions!B50,Assumptions!B49,0)</f>
        <v>0</v>
      </c>
      <c r="W6" s="24" t="n">
        <f aca="false">IF(22=Assumptions!B50,Assumptions!B49,0)</f>
        <v>0</v>
      </c>
      <c r="X6" s="24" t="n">
        <f aca="false">IF(23=Assumptions!B50,Assumptions!B49,0)</f>
        <v>0</v>
      </c>
      <c r="Y6" s="24" t="n">
        <f aca="false">IF(24=Assumptions!B50,Assumptions!B49,0)</f>
        <v>0</v>
      </c>
      <c r="AA6" s="3" t="s">
        <v>139</v>
      </c>
      <c r="AB6" s="19" t="n">
        <f aca="false">SUM(B12:Y12)</f>
        <v>50625.0405648384</v>
      </c>
    </row>
    <row r="7" customFormat="false" ht="15" hidden="false" customHeight="false" outlineLevel="0" collapsed="false">
      <c r="A7" s="22" t="s">
        <v>140</v>
      </c>
      <c r="B7" s="29" t="n">
        <f aca="false">B5+B6</f>
        <v>492100</v>
      </c>
      <c r="C7" s="29" t="n">
        <f aca="false">C5+C6</f>
        <v>-7050</v>
      </c>
      <c r="D7" s="29" t="n">
        <f aca="false">D5+D6</f>
        <v>-6234</v>
      </c>
      <c r="E7" s="29" t="n">
        <f aca="false">E5+E6</f>
        <v>-3340.64</v>
      </c>
      <c r="F7" s="29" t="n">
        <f aca="false">F5+F6</f>
        <v>-9538.6144</v>
      </c>
      <c r="G7" s="29" t="n">
        <f aca="false">G5+G6</f>
        <v>-8000.669824</v>
      </c>
      <c r="H7" s="29" t="n">
        <f aca="false">H5+H6</f>
        <v>-5414.24303104</v>
      </c>
      <c r="I7" s="29" t="n">
        <f aca="false">I5+I6</f>
        <v>-3146.8733097984</v>
      </c>
      <c r="J7" s="29" t="n">
        <f aca="false">J5+J6</f>
        <v>1139.80162259354</v>
      </c>
      <c r="K7" s="29" t="n">
        <f aca="false">K5+K6</f>
        <v>3229.40955768979</v>
      </c>
      <c r="L7" s="29" t="n">
        <f aca="false">L5+L6</f>
        <v>8195.4331753822</v>
      </c>
      <c r="M7" s="29" t="n">
        <f aca="false">M5+M6</f>
        <v>13047.2158483669</v>
      </c>
      <c r="N7" s="29" t="n">
        <f aca="false">N5+N6</f>
        <v>13359.3272144322</v>
      </c>
      <c r="O7" s="29" t="n">
        <f aca="false">O5+O6</f>
        <v>18846.1541258549</v>
      </c>
      <c r="P7" s="29" t="n">
        <f aca="false">P5+P6</f>
        <v>15747.9079608207</v>
      </c>
      <c r="Q7" s="29" t="n">
        <f aca="false">Q5+Q6</f>
        <v>20969.9916423879</v>
      </c>
      <c r="R7" s="29" t="n">
        <f aca="false">R5+R6</f>
        <v>26917.5919766924</v>
      </c>
      <c r="S7" s="29" t="n">
        <f aca="false">S5+S6</f>
        <v>34821.6882976247</v>
      </c>
      <c r="T7" s="29" t="n">
        <f aca="false">T5+T6</f>
        <v>40468.4207657197</v>
      </c>
      <c r="U7" s="29" t="n">
        <f aca="false">U5+U6</f>
        <v>48933.6839350909</v>
      </c>
      <c r="V7" s="29" t="n">
        <f aca="false">V5+V6</f>
        <v>55119.1365776873</v>
      </c>
      <c r="W7" s="29" t="n">
        <f aca="false">W5+W6</f>
        <v>61141.5711145798</v>
      </c>
      <c r="X7" s="29" t="n">
        <f aca="false">X5+X6</f>
        <v>69967.5082699966</v>
      </c>
      <c r="Y7" s="29" t="n">
        <f aca="false">Y5+Y6</f>
        <v>78609.2079391967</v>
      </c>
      <c r="AA7" s="3" t="s">
        <v>141</v>
      </c>
      <c r="AB7" s="19" t="n">
        <f aca="false">Y10</f>
        <v>959889.009459278</v>
      </c>
    </row>
    <row r="8" customFormat="false" ht="15" hidden="false" customHeight="false" outlineLevel="0" collapsed="false">
      <c r="AA8" s="3" t="s">
        <v>142</v>
      </c>
      <c r="AB8" s="24" t="n">
        <f aca="false">Revenue!Y14</f>
        <v>1384983.45975367</v>
      </c>
    </row>
    <row r="9" customFormat="false" ht="15" hidden="false" customHeight="false" outlineLevel="0" collapsed="false">
      <c r="A9" s="3" t="s">
        <v>143</v>
      </c>
      <c r="B9" s="24" t="n">
        <f aca="false">Assumptions!B48</f>
        <v>0</v>
      </c>
      <c r="C9" s="19" t="n">
        <f aca="false">B10</f>
        <v>492100</v>
      </c>
      <c r="D9" s="19" t="n">
        <f aca="false">C10</f>
        <v>485050</v>
      </c>
      <c r="E9" s="19" t="n">
        <f aca="false">D10</f>
        <v>478816</v>
      </c>
      <c r="F9" s="19" t="n">
        <f aca="false">E10</f>
        <v>475475.36</v>
      </c>
      <c r="G9" s="19" t="n">
        <f aca="false">F10</f>
        <v>465936.7456</v>
      </c>
      <c r="H9" s="19" t="n">
        <f aca="false">G10</f>
        <v>457936.075776</v>
      </c>
      <c r="I9" s="19" t="n">
        <f aca="false">H10</f>
        <v>452521.83274496</v>
      </c>
      <c r="J9" s="19" t="n">
        <f aca="false">I10</f>
        <v>449374.959435162</v>
      </c>
      <c r="K9" s="19" t="n">
        <f aca="false">J10</f>
        <v>450514.761057755</v>
      </c>
      <c r="L9" s="19" t="n">
        <f aca="false">K10</f>
        <v>453744.170615445</v>
      </c>
      <c r="M9" s="19" t="n">
        <f aca="false">L10</f>
        <v>461939.603790827</v>
      </c>
      <c r="N9" s="19" t="n">
        <f aca="false">M10</f>
        <v>474986.819639194</v>
      </c>
      <c r="O9" s="19" t="n">
        <f aca="false">N10</f>
        <v>488346.146853626</v>
      </c>
      <c r="P9" s="19" t="n">
        <f aca="false">O10</f>
        <v>507192.300979481</v>
      </c>
      <c r="Q9" s="19" t="n">
        <f aca="false">P10</f>
        <v>522940.208940302</v>
      </c>
      <c r="R9" s="19" t="n">
        <f aca="false">Q10</f>
        <v>543910.20058269</v>
      </c>
      <c r="S9" s="19" t="n">
        <f aca="false">R10</f>
        <v>570827.792559382</v>
      </c>
      <c r="T9" s="19" t="n">
        <f aca="false">S10</f>
        <v>605649.480857007</v>
      </c>
      <c r="U9" s="19" t="n">
        <f aca="false">T10</f>
        <v>646117.901622727</v>
      </c>
      <c r="V9" s="19" t="n">
        <f aca="false">U10</f>
        <v>695051.585557818</v>
      </c>
      <c r="W9" s="19" t="n">
        <f aca="false">V10</f>
        <v>750170.722135505</v>
      </c>
      <c r="X9" s="19" t="n">
        <f aca="false">W10</f>
        <v>811312.293250085</v>
      </c>
      <c r="Y9" s="19" t="n">
        <f aca="false">X10</f>
        <v>881279.801520081</v>
      </c>
      <c r="AA9" s="3" t="s">
        <v>144</v>
      </c>
      <c r="AB9" s="15" t="n">
        <f aca="false">IFERROR(MATCH(TRUE(),B5:Y5&gt;0,0),"No alcanzado")</f>
        <v>9</v>
      </c>
    </row>
    <row r="10" customFormat="false" ht="15" hidden="false" customHeight="false" outlineLevel="0" collapsed="false">
      <c r="A10" s="5" t="s">
        <v>145</v>
      </c>
      <c r="B10" s="27" t="n">
        <f aca="false">B9+B7</f>
        <v>492100</v>
      </c>
      <c r="C10" s="27" t="n">
        <f aca="false">C9+C7</f>
        <v>485050</v>
      </c>
      <c r="D10" s="27" t="n">
        <f aca="false">D9+D7</f>
        <v>478816</v>
      </c>
      <c r="E10" s="27" t="n">
        <f aca="false">E9+E7</f>
        <v>475475.36</v>
      </c>
      <c r="F10" s="27" t="n">
        <f aca="false">F9+F7</f>
        <v>465936.7456</v>
      </c>
      <c r="G10" s="27" t="n">
        <f aca="false">G9+G7</f>
        <v>457936.075776</v>
      </c>
      <c r="H10" s="27" t="n">
        <f aca="false">H9+H7</f>
        <v>452521.83274496</v>
      </c>
      <c r="I10" s="27" t="n">
        <f aca="false">I9+I7</f>
        <v>449374.959435162</v>
      </c>
      <c r="J10" s="27" t="n">
        <f aca="false">J9+J7</f>
        <v>450514.761057755</v>
      </c>
      <c r="K10" s="27" t="n">
        <f aca="false">K9+K7</f>
        <v>453744.170615445</v>
      </c>
      <c r="L10" s="27" t="n">
        <f aca="false">L9+L7</f>
        <v>461939.603790827</v>
      </c>
      <c r="M10" s="27" t="n">
        <f aca="false">M9+M7</f>
        <v>474986.819639194</v>
      </c>
      <c r="N10" s="27" t="n">
        <f aca="false">N9+N7</f>
        <v>488346.146853626</v>
      </c>
      <c r="O10" s="27" t="n">
        <f aca="false">O9+O7</f>
        <v>507192.300979481</v>
      </c>
      <c r="P10" s="27" t="n">
        <f aca="false">P9+P7</f>
        <v>522940.208940302</v>
      </c>
      <c r="Q10" s="27" t="n">
        <f aca="false">Q9+Q7</f>
        <v>543910.20058269</v>
      </c>
      <c r="R10" s="27" t="n">
        <f aca="false">R9+R7</f>
        <v>570827.792559382</v>
      </c>
      <c r="S10" s="27" t="n">
        <f aca="false">S9+S7</f>
        <v>605649.480857007</v>
      </c>
      <c r="T10" s="27" t="n">
        <f aca="false">T9+T7</f>
        <v>646117.901622727</v>
      </c>
      <c r="U10" s="27" t="n">
        <f aca="false">U9+U7</f>
        <v>695051.585557818</v>
      </c>
      <c r="V10" s="27" t="n">
        <f aca="false">V9+V7</f>
        <v>750170.722135505</v>
      </c>
      <c r="W10" s="27" t="n">
        <f aca="false">W9+W7</f>
        <v>811312.293250085</v>
      </c>
      <c r="X10" s="27" t="n">
        <f aca="false">X9+X7</f>
        <v>881279.801520081</v>
      </c>
      <c r="Y10" s="27" t="n">
        <f aca="false">Y9+Y7</f>
        <v>959889.009459278</v>
      </c>
    </row>
    <row r="12" customFormat="false" ht="15" hidden="false" customHeight="false" outlineLevel="0" collapsed="false">
      <c r="A12" s="3" t="s">
        <v>146</v>
      </c>
      <c r="B12" s="19" t="n">
        <f aca="false">IF(B5&lt;0,-B5,0)</f>
        <v>7900</v>
      </c>
      <c r="C12" s="19" t="n">
        <f aca="false">IF(C5&lt;0,-C5,0)</f>
        <v>7050</v>
      </c>
      <c r="D12" s="19" t="n">
        <f aca="false">IF(D5&lt;0,-D5,0)</f>
        <v>6234</v>
      </c>
      <c r="E12" s="19" t="n">
        <f aca="false">IF(E5&lt;0,-E5,0)</f>
        <v>3340.64</v>
      </c>
      <c r="F12" s="19" t="n">
        <f aca="false">IF(F5&lt;0,-F5,0)</f>
        <v>9538.6144</v>
      </c>
      <c r="G12" s="19" t="n">
        <f aca="false">IF(G5&lt;0,-G5,0)</f>
        <v>8000.669824</v>
      </c>
      <c r="H12" s="19" t="n">
        <f aca="false">IF(H5&lt;0,-H5,0)</f>
        <v>5414.24303104</v>
      </c>
      <c r="I12" s="19" t="n">
        <f aca="false">IF(I5&lt;0,-I5,0)</f>
        <v>3146.8733097984</v>
      </c>
      <c r="J12" s="19" t="n">
        <f aca="false">IF(J5&lt;0,-J5,0)</f>
        <v>0</v>
      </c>
      <c r="K12" s="19" t="n">
        <f aca="false">IF(K5&lt;0,-K5,0)</f>
        <v>0</v>
      </c>
      <c r="L12" s="19" t="n">
        <f aca="false">IF(L5&lt;0,-L5,0)</f>
        <v>0</v>
      </c>
      <c r="M12" s="19" t="n">
        <f aca="false">IF(M5&lt;0,-M5,0)</f>
        <v>0</v>
      </c>
      <c r="N12" s="19" t="n">
        <f aca="false">IF(N5&lt;0,-N5,0)</f>
        <v>0</v>
      </c>
      <c r="O12" s="19" t="n">
        <f aca="false">IF(O5&lt;0,-O5,0)</f>
        <v>0</v>
      </c>
      <c r="P12" s="19" t="n">
        <f aca="false">IF(P5&lt;0,-P5,0)</f>
        <v>0</v>
      </c>
      <c r="Q12" s="19" t="n">
        <f aca="false">IF(Q5&lt;0,-Q5,0)</f>
        <v>0</v>
      </c>
      <c r="R12" s="19" t="n">
        <f aca="false">IF(R5&lt;0,-R5,0)</f>
        <v>0</v>
      </c>
      <c r="S12" s="19" t="n">
        <f aca="false">IF(S5&lt;0,-S5,0)</f>
        <v>0</v>
      </c>
      <c r="T12" s="19" t="n">
        <f aca="false">IF(T5&lt;0,-T5,0)</f>
        <v>0</v>
      </c>
      <c r="U12" s="19" t="n">
        <f aca="false">IF(U5&lt;0,-U5,0)</f>
        <v>0</v>
      </c>
      <c r="V12" s="19" t="n">
        <f aca="false">IF(V5&lt;0,-V5,0)</f>
        <v>0</v>
      </c>
      <c r="W12" s="19" t="n">
        <f aca="false">IF(W5&lt;0,-W5,0)</f>
        <v>0</v>
      </c>
      <c r="X12" s="19" t="n">
        <f aca="false">IF(X5&lt;0,-X5,0)</f>
        <v>0</v>
      </c>
      <c r="Y12" s="19" t="n">
        <f aca="false">IF(Y5&lt;0,-Y5,0)</f>
        <v>0</v>
      </c>
    </row>
    <row r="13" customFormat="false" ht="15" hidden="false" customHeight="false" outlineLevel="0" collapsed="false">
      <c r="A13" s="3" t="s">
        <v>147</v>
      </c>
      <c r="B13" s="19" t="n">
        <f aca="false">AVERAGE($B12:B12)</f>
        <v>7900</v>
      </c>
      <c r="C13" s="19" t="n">
        <f aca="false">AVERAGE($B12:C12)</f>
        <v>7475</v>
      </c>
      <c r="D13" s="19" t="n">
        <f aca="false">AVERAGE(B12:D12)</f>
        <v>7061.33333333333</v>
      </c>
      <c r="E13" s="19" t="n">
        <f aca="false">AVERAGE(C12:E12)</f>
        <v>5541.54666666667</v>
      </c>
      <c r="F13" s="19" t="n">
        <f aca="false">AVERAGE(D12:F12)</f>
        <v>6371.0848</v>
      </c>
      <c r="G13" s="19" t="n">
        <f aca="false">AVERAGE(E12:G12)</f>
        <v>6959.97474133333</v>
      </c>
      <c r="H13" s="19" t="n">
        <f aca="false">AVERAGE(F12:H12)</f>
        <v>7651.17575168</v>
      </c>
      <c r="I13" s="19" t="n">
        <f aca="false">AVERAGE(G12:I12)</f>
        <v>5520.59538827947</v>
      </c>
      <c r="J13" s="19" t="n">
        <f aca="false">AVERAGE(H12:J12)</f>
        <v>2853.70544694613</v>
      </c>
      <c r="K13" s="19" t="n">
        <f aca="false">AVERAGE(I12:K12)</f>
        <v>1048.9577699328</v>
      </c>
      <c r="L13" s="19" t="n">
        <f aca="false">AVERAGE(J12:L12)</f>
        <v>0</v>
      </c>
      <c r="M13" s="19" t="n">
        <f aca="false">AVERAGE(K12:M12)</f>
        <v>0</v>
      </c>
      <c r="N13" s="19" t="n">
        <f aca="false">AVERAGE(L12:N12)</f>
        <v>0</v>
      </c>
      <c r="O13" s="19" t="n">
        <f aca="false">AVERAGE(M12:O12)</f>
        <v>0</v>
      </c>
      <c r="P13" s="19" t="n">
        <f aca="false">AVERAGE(N12:P12)</f>
        <v>0</v>
      </c>
      <c r="Q13" s="19" t="n">
        <f aca="false">AVERAGE(O12:Q12)</f>
        <v>0</v>
      </c>
      <c r="R13" s="19" t="n">
        <f aca="false">AVERAGE(P12:R12)</f>
        <v>0</v>
      </c>
      <c r="S13" s="19" t="n">
        <f aca="false">AVERAGE(Q12:S12)</f>
        <v>0</v>
      </c>
      <c r="T13" s="19" t="n">
        <f aca="false">AVERAGE(R12:T12)</f>
        <v>0</v>
      </c>
      <c r="U13" s="19" t="n">
        <f aca="false">AVERAGE(S12:U12)</f>
        <v>0</v>
      </c>
      <c r="V13" s="19" t="n">
        <f aca="false">AVERAGE(T12:V12)</f>
        <v>0</v>
      </c>
      <c r="W13" s="19" t="n">
        <f aca="false">AVERAGE(U12:W12)</f>
        <v>0</v>
      </c>
      <c r="X13" s="19" t="n">
        <f aca="false">AVERAGE(V12:X12)</f>
        <v>0</v>
      </c>
      <c r="Y13" s="19" t="n">
        <f aca="false">AVERAGE(W12:Y12)</f>
        <v>0</v>
      </c>
    </row>
    <row r="14" customFormat="false" ht="15" hidden="false" customHeight="false" outlineLevel="0" collapsed="false">
      <c r="A14" s="22" t="s">
        <v>148</v>
      </c>
      <c r="B14" s="30" t="n">
        <f aca="false">IF(B13&gt;0,B10/B13,"&gt;24")</f>
        <v>62.2911392405063</v>
      </c>
      <c r="C14" s="30" t="n">
        <f aca="false">IF(C13&gt;0,C10/C13,"&gt;24")</f>
        <v>64.8896321070234</v>
      </c>
      <c r="D14" s="30" t="n">
        <f aca="false">IF(D13&gt;0,D10/D13,"&gt;24")</f>
        <v>67.8081570996979</v>
      </c>
      <c r="E14" s="30" t="n">
        <f aca="false">IF(E13&gt;0,E10/E13,"&gt;24")</f>
        <v>85.8019229288574</v>
      </c>
      <c r="F14" s="30" t="n">
        <f aca="false">IF(F13&gt;0,F10/F13,"&gt;24")</f>
        <v>73.1330315364818</v>
      </c>
      <c r="G14" s="30" t="n">
        <f aca="false">IF(G13&gt;0,G10/G13,"&gt;24")</f>
        <v>65.7956519664427</v>
      </c>
      <c r="H14" s="30" t="n">
        <f aca="false">IF(H13&gt;0,H10/H13,"&gt;24")</f>
        <v>59.1440907164625</v>
      </c>
      <c r="I14" s="30" t="n">
        <f aca="false">IF(I13&gt;0,I10/I13,"&gt;24")</f>
        <v>81.3997273535405</v>
      </c>
      <c r="J14" s="30" t="n">
        <f aca="false">IF(J13&gt;0,J10/J13,"&gt;24")</f>
        <v>157.87009887088</v>
      </c>
      <c r="K14" s="30" t="n">
        <f aca="false">IF(K13&gt;0,K10/K13,"&gt;24")</f>
        <v>432.566671053415</v>
      </c>
      <c r="L14" s="30" t="str">
        <f aca="false">IF(L13&gt;0,L10/L13,"&gt;24")</f>
        <v>&gt;24</v>
      </c>
      <c r="M14" s="30" t="str">
        <f aca="false">IF(M13&gt;0,M10/M13,"&gt;24")</f>
        <v>&gt;24</v>
      </c>
      <c r="N14" s="30" t="str">
        <f aca="false">IF(N13&gt;0,N10/N13,"&gt;24")</f>
        <v>&gt;24</v>
      </c>
      <c r="O14" s="30" t="str">
        <f aca="false">IF(O13&gt;0,O10/O13,"&gt;24")</f>
        <v>&gt;24</v>
      </c>
      <c r="P14" s="30" t="str">
        <f aca="false">IF(P13&gt;0,P10/P13,"&gt;24")</f>
        <v>&gt;24</v>
      </c>
      <c r="Q14" s="30" t="str">
        <f aca="false">IF(Q13&gt;0,Q10/Q13,"&gt;24")</f>
        <v>&gt;24</v>
      </c>
      <c r="R14" s="30" t="str">
        <f aca="false">IF(R13&gt;0,R10/R13,"&gt;24")</f>
        <v>&gt;24</v>
      </c>
      <c r="S14" s="30" t="str">
        <f aca="false">IF(S13&gt;0,S10/S13,"&gt;24")</f>
        <v>&gt;24</v>
      </c>
      <c r="T14" s="30" t="str">
        <f aca="false">IF(T13&gt;0,T10/T13,"&gt;24")</f>
        <v>&gt;24</v>
      </c>
      <c r="U14" s="30" t="str">
        <f aca="false">IF(U13&gt;0,U10/U13,"&gt;24")</f>
        <v>&gt;24</v>
      </c>
      <c r="V14" s="30" t="str">
        <f aca="false">IF(V13&gt;0,V10/V13,"&gt;24")</f>
        <v>&gt;24</v>
      </c>
      <c r="W14" s="30" t="str">
        <f aca="false">IF(W13&gt;0,W10/W13,"&gt;24")</f>
        <v>&gt;24</v>
      </c>
      <c r="X14" s="30" t="str">
        <f aca="false">IF(X13&gt;0,X10/X13,"&gt;24")</f>
        <v>&gt;24</v>
      </c>
      <c r="Y14" s="30" t="str">
        <f aca="false">IF(Y13&gt;0,Y10/Y13,"&gt;24")</f>
        <v>&gt;24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2026-05-03T09:42:49Z</dcterms:created>
  <dc:creator>openpyxl</dc:creator>
  <dc:description/>
  <dc:language>en-US</dc:language>
  <cp:lastModifiedBy/>
  <dcterms:modified xsi:type="dcterms:W3CDTF">2026-05-03T09:42:49Z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